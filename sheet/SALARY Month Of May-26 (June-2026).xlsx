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 Sheet" sheetId="1" r:id="rId5"/>
    <sheet state="visible" name="Pay Slip" sheetId="2" r:id="rId6"/>
    <sheet state="visible" name="Copy of Pay Slip" sheetId="3" r:id="rId7"/>
  </sheets>
  <definedNames/>
  <calcPr/>
</workbook>
</file>

<file path=xl/sharedStrings.xml><?xml version="1.0" encoding="utf-8"?>
<sst xmlns="http://schemas.openxmlformats.org/spreadsheetml/2006/main" count="463" uniqueCount="242">
  <si>
    <t>Bin Mishal Global Service Co. Ltd.</t>
  </si>
  <si>
    <t>Period : May''26</t>
  </si>
  <si>
    <t>Salary Sheet</t>
  </si>
  <si>
    <t>SL No</t>
  </si>
  <si>
    <t>Staff Name</t>
  </si>
  <si>
    <t>Joining Date</t>
  </si>
  <si>
    <t>Designation</t>
  </si>
  <si>
    <t>Kafala Status</t>
  </si>
  <si>
    <t>Branch Name</t>
  </si>
  <si>
    <t>Working Days</t>
  </si>
  <si>
    <t>Absent Days</t>
  </si>
  <si>
    <t>Present Days</t>
  </si>
  <si>
    <t>Per Days Salary</t>
  </si>
  <si>
    <t>O.T Hours</t>
  </si>
  <si>
    <t>Advance Loan</t>
  </si>
  <si>
    <t>Earnings</t>
  </si>
  <si>
    <t>Deduction</t>
  </si>
  <si>
    <t>Net Salary Amount</t>
  </si>
  <si>
    <t>Remaining Loan</t>
  </si>
  <si>
    <t>Bank Pay</t>
  </si>
  <si>
    <t>Basic</t>
  </si>
  <si>
    <t>House Rent</t>
  </si>
  <si>
    <t>Food</t>
  </si>
  <si>
    <t>Commission</t>
  </si>
  <si>
    <t>Over Time</t>
  </si>
  <si>
    <t>Gross Salary</t>
  </si>
  <si>
    <t>Loan Adjust</t>
  </si>
  <si>
    <t>Absent Cost</t>
  </si>
  <si>
    <t>Iqama Cost</t>
  </si>
  <si>
    <t>Fine</t>
  </si>
  <si>
    <t>Total Deduction</t>
  </si>
  <si>
    <t>Payable:</t>
  </si>
  <si>
    <t>Md.Afsar Uddin Bhuiyan</t>
  </si>
  <si>
    <t>09.05.2025</t>
  </si>
  <si>
    <t>Central Manager</t>
  </si>
  <si>
    <t>Sorikatul BMT</t>
  </si>
  <si>
    <t>Head Office</t>
  </si>
  <si>
    <t>1000SR Pay to DMM</t>
  </si>
  <si>
    <t>200+1200+500+500</t>
  </si>
  <si>
    <t>Md.Sana Ullah</t>
  </si>
  <si>
    <t>09.03.2025</t>
  </si>
  <si>
    <t>Accounts Manager</t>
  </si>
  <si>
    <t>Under Kafala</t>
  </si>
  <si>
    <t>Shahadat Hossain Nishad</t>
  </si>
  <si>
    <t>27.03.2026</t>
  </si>
  <si>
    <t>Cen-Reservation Exe</t>
  </si>
  <si>
    <t xml:space="preserve">Jeyara Passanger </t>
  </si>
  <si>
    <t>Md.Ariful Haque</t>
  </si>
  <si>
    <t>08.09.2025</t>
  </si>
  <si>
    <t>Accounts Sr.Executive</t>
  </si>
  <si>
    <t>Abu Faysal Fahim</t>
  </si>
  <si>
    <t>29.08.2025</t>
  </si>
  <si>
    <t>Asst.Manager (Audit )</t>
  </si>
  <si>
    <t>Emon</t>
  </si>
  <si>
    <t>09.03.2026</t>
  </si>
  <si>
    <t>Social Media Executive</t>
  </si>
  <si>
    <t>Mohammad Foysal Hossain</t>
  </si>
  <si>
    <t>15.01.2024</t>
  </si>
  <si>
    <t>PS Of Chairman</t>
  </si>
  <si>
    <t>Atik Ullah Arif</t>
  </si>
  <si>
    <t>07.01.2025</t>
  </si>
  <si>
    <t>Ticket Staff</t>
  </si>
  <si>
    <t>Outside Kafala</t>
  </si>
  <si>
    <t>Dammam</t>
  </si>
  <si>
    <t>Kazi Imrul Kayes Aunto</t>
  </si>
  <si>
    <t>30.10.2024</t>
  </si>
  <si>
    <t>General-Amal Staff</t>
  </si>
  <si>
    <t>Md.Rakib Hossain</t>
  </si>
  <si>
    <t>13.05.2025</t>
  </si>
  <si>
    <t>Total Iqama=</t>
  </si>
  <si>
    <t>Tahsin Ahmed.</t>
  </si>
  <si>
    <t>05.01.2026</t>
  </si>
  <si>
    <t>Bipul Kumar Mitra.</t>
  </si>
  <si>
    <t>01.01.2026</t>
  </si>
  <si>
    <t>Cargo Stuff</t>
  </si>
  <si>
    <t>Awad Al-Rashidi</t>
  </si>
  <si>
    <t>07.01.2027</t>
  </si>
  <si>
    <t>Saudi Amel</t>
  </si>
  <si>
    <t xml:space="preserve">Etihad </t>
  </si>
  <si>
    <t>08.03.2026</t>
  </si>
  <si>
    <t>Ticket STAFF</t>
  </si>
  <si>
    <t>Riyadh</t>
  </si>
  <si>
    <t>NASIR SAIFELDIN ELNOUR HAG HAMAD</t>
  </si>
  <si>
    <t>01.11.2025</t>
  </si>
  <si>
    <t>Mowaggep</t>
  </si>
  <si>
    <t>JEDDAH</t>
  </si>
  <si>
    <t>Esrafil Shodure</t>
  </si>
  <si>
    <t>05.03.2024</t>
  </si>
  <si>
    <t>General STAFF</t>
  </si>
  <si>
    <t>Ashek Ahmed (Sultan)</t>
  </si>
  <si>
    <t>05.07.2024</t>
  </si>
  <si>
    <t>Manager</t>
  </si>
  <si>
    <t>Kamruzzaman</t>
  </si>
  <si>
    <t>7.12.2025</t>
  </si>
  <si>
    <t>Gazi Md.Raduanur Rohman</t>
  </si>
  <si>
    <t>23.07.2025</t>
  </si>
  <si>
    <t>Md.Khalish Miah</t>
  </si>
  <si>
    <t>MOHAMMAD SOHEL SHIEKH</t>
  </si>
  <si>
    <t>15.11.2023</t>
  </si>
  <si>
    <t>Rayhan Islam</t>
  </si>
  <si>
    <t>23.09.2024</t>
  </si>
  <si>
    <t>Makkah Corporate</t>
  </si>
  <si>
    <t>Neyamat Ullah</t>
  </si>
  <si>
    <t>31.10.2024</t>
  </si>
  <si>
    <t>Marketing Manager</t>
  </si>
  <si>
    <t>Md Miraz Hossain</t>
  </si>
  <si>
    <t>06.02.2025</t>
  </si>
  <si>
    <t>Marketing Asst-M</t>
  </si>
  <si>
    <t>Abdur Rahman</t>
  </si>
  <si>
    <t>01.01.2025</t>
  </si>
  <si>
    <t>Md.Abu Saleh</t>
  </si>
  <si>
    <t>02.03.2026</t>
  </si>
  <si>
    <t>General Stuff</t>
  </si>
  <si>
    <t>Milon H M</t>
  </si>
  <si>
    <t>Makkah-01</t>
  </si>
  <si>
    <t>Md.Naim</t>
  </si>
  <si>
    <t>01.02.2025</t>
  </si>
  <si>
    <t>Shariful Islam</t>
  </si>
  <si>
    <t>13.08.2025</t>
  </si>
  <si>
    <t>Makkah-02</t>
  </si>
  <si>
    <t>Md.Sumon Miah</t>
  </si>
  <si>
    <t>14.07.25</t>
  </si>
  <si>
    <t>General Staff</t>
  </si>
  <si>
    <t>Golam Morshed</t>
  </si>
  <si>
    <t>01.09.2025</t>
  </si>
  <si>
    <t>Jubail</t>
  </si>
  <si>
    <t>Abdul Karim</t>
  </si>
  <si>
    <t>24.02.2025</t>
  </si>
  <si>
    <t>2000 Count as sep-25 salary</t>
  </si>
  <si>
    <t>Ashraf Chowdhury</t>
  </si>
  <si>
    <t>Md Ismail Azum Rifat</t>
  </si>
  <si>
    <t>Akbar Alam=1092 &amp; B2B=2887</t>
  </si>
  <si>
    <t>Sohan Hosen</t>
  </si>
  <si>
    <t>16.11.2024</t>
  </si>
  <si>
    <t>Ghazwani Ghareeb Yahyae</t>
  </si>
  <si>
    <t>Md.Azizul Hoque Shaddam</t>
  </si>
  <si>
    <t>23.08.2026</t>
  </si>
  <si>
    <t>Office Stuff</t>
  </si>
  <si>
    <t>Bijoy</t>
  </si>
  <si>
    <t>05.02.2026</t>
  </si>
  <si>
    <t>Abdul Motin Patwary</t>
  </si>
  <si>
    <t>04.03.2026</t>
  </si>
  <si>
    <t>ABDUL KARIM SEIKH</t>
  </si>
  <si>
    <t>10.11.2025</t>
  </si>
  <si>
    <t>Madina</t>
  </si>
  <si>
    <t>Asraf Uddin Rayhan</t>
  </si>
  <si>
    <t>01.03.2026</t>
  </si>
  <si>
    <t>Md.Shiblu Hossain</t>
  </si>
  <si>
    <t>05.09.2025</t>
  </si>
  <si>
    <t>Shohidul Islam</t>
  </si>
  <si>
    <t>Abdullah Al Mamun</t>
  </si>
  <si>
    <t>31.07.2025</t>
  </si>
  <si>
    <t>Call Center STAFF</t>
  </si>
  <si>
    <t>Online</t>
  </si>
  <si>
    <t>Md Omar Faruk Masud</t>
  </si>
  <si>
    <t>Arifur Rahman</t>
  </si>
  <si>
    <t>13.02.2025</t>
  </si>
  <si>
    <t>MD Parvez</t>
  </si>
  <si>
    <t>29.10.2025</t>
  </si>
  <si>
    <t>Javed Hossain</t>
  </si>
  <si>
    <t>12.12.2025</t>
  </si>
  <si>
    <t>Md.Faisal Sarkar</t>
  </si>
  <si>
    <t>07.02.2026</t>
  </si>
  <si>
    <t>Md.Mirajul Islam</t>
  </si>
  <si>
    <t>17.02.2026</t>
  </si>
  <si>
    <t xml:space="preserve">SIAM AHMED </t>
  </si>
  <si>
    <t>06.04.2026</t>
  </si>
  <si>
    <t>Kazi Md Salauddin</t>
  </si>
  <si>
    <t>09.04.2026</t>
  </si>
  <si>
    <t>FOZLUL KARIM</t>
  </si>
  <si>
    <t>03.04.2026</t>
  </si>
  <si>
    <t>Ismail Hossain</t>
  </si>
  <si>
    <t xml:space="preserve">Khamis </t>
  </si>
  <si>
    <t>Golam Rabbi</t>
  </si>
  <si>
    <t>12.05.2024</t>
  </si>
  <si>
    <t>Md.Oli ullah Rokib</t>
  </si>
  <si>
    <t>01.06.2025</t>
  </si>
  <si>
    <t>Tabuk</t>
  </si>
  <si>
    <t>Fly City</t>
  </si>
  <si>
    <t>Md.Arif Hossain</t>
  </si>
  <si>
    <t>09.04.2025</t>
  </si>
  <si>
    <t>Md.Mizanur Rahman</t>
  </si>
  <si>
    <t>28.10.2024</t>
  </si>
  <si>
    <t>Br. Manager</t>
  </si>
  <si>
    <t>Aisha Al-Sahi</t>
  </si>
  <si>
    <t>Md Omar Faruq</t>
  </si>
  <si>
    <t>01.01.2024</t>
  </si>
  <si>
    <t>Md.Saddam Hossain</t>
  </si>
  <si>
    <t>27.09.2024</t>
  </si>
  <si>
    <t>Imran Hossain Rimon</t>
  </si>
  <si>
    <t>18.04.2024</t>
  </si>
  <si>
    <t>Md Shihab Sheikh</t>
  </si>
  <si>
    <t>02.12.2023</t>
  </si>
  <si>
    <t>Akbar Alam</t>
  </si>
  <si>
    <t>Md Mahmoudul Hasan Sadik</t>
  </si>
  <si>
    <t>07.07.2025</t>
  </si>
  <si>
    <t>Md.Azhar Sheikh</t>
  </si>
  <si>
    <t>Md.Shahjahan Ali</t>
  </si>
  <si>
    <t>18.12.2025</t>
  </si>
  <si>
    <t xml:space="preserve">Sajjad Hossain </t>
  </si>
  <si>
    <t>02.02.2026</t>
  </si>
  <si>
    <t>Habibur Rahman</t>
  </si>
  <si>
    <t>Md.Sanowar Hossain</t>
  </si>
  <si>
    <t>05.07.2026</t>
  </si>
  <si>
    <t>Md Nazmul Islam</t>
  </si>
  <si>
    <t>02.05.2024</t>
  </si>
  <si>
    <t>Abu Yousuf</t>
  </si>
  <si>
    <t>11.11.2025</t>
  </si>
  <si>
    <t>Total Amount</t>
  </si>
  <si>
    <t>Maker …..............................................</t>
  </si>
  <si>
    <t>Cheeck …..............................................</t>
  </si>
  <si>
    <t>Approval …........................................</t>
  </si>
  <si>
    <t>Md Afsar Javed</t>
  </si>
  <si>
    <t>Bin Mishal Golam</t>
  </si>
  <si>
    <t>HR-ADMIN</t>
  </si>
  <si>
    <t>Manager- Accounts</t>
  </si>
  <si>
    <t xml:space="preserve">Chairman </t>
  </si>
  <si>
    <t>BIN MISHAL GLOBAL SERVICES CO. LTD</t>
  </si>
  <si>
    <t>BIN MISHAL GLOBAL SERVICE CO. LTD</t>
  </si>
  <si>
    <t>Salary Slip</t>
  </si>
  <si>
    <t>:</t>
  </si>
  <si>
    <t>Emmployee ID :</t>
  </si>
  <si>
    <t>Employee Name:</t>
  </si>
  <si>
    <t>Designation:</t>
  </si>
  <si>
    <t>Date of Payment:</t>
  </si>
  <si>
    <t/>
  </si>
  <si>
    <t>Loan Deduct</t>
  </si>
  <si>
    <t>Breakfast</t>
  </si>
  <si>
    <t xml:space="preserve">Advance </t>
  </si>
  <si>
    <t>Absent</t>
  </si>
  <si>
    <t>Paid by Bank</t>
  </si>
  <si>
    <t>Total Addition</t>
  </si>
  <si>
    <t>Net Salary Payable  :</t>
  </si>
  <si>
    <t>Salary in Words       :</t>
  </si>
  <si>
    <t>Remaining Loan (IF)   :</t>
  </si>
  <si>
    <t>Paid By Cash           :</t>
  </si>
  <si>
    <t>Paid By Bank           :</t>
  </si>
  <si>
    <t>Branch Manager</t>
  </si>
  <si>
    <t>Payment By</t>
  </si>
  <si>
    <t>Accounts</t>
  </si>
  <si>
    <t>Employee Sign</t>
  </si>
  <si>
    <t>Notice: This wages paid for month of May-2026 with mutual termination.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</si>
</sst>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0 &quot;Hr&quot;"/>
    <numFmt numFmtId="166" formatCode="_(* #,##0.00_);_(* \(#,##0.00\);_(* &quot;-&quot;??_);_(@_)"/>
    <numFmt numFmtId="167" formatCode="0.0 &quot;SR&quot;"/>
    <numFmt numFmtId="168" formatCode="0.00 &quot;SR&quot;"/>
    <numFmt numFmtId="169" formatCode="[$ SR ]#,##0.00"/>
  </numFmts>
  <fonts count="22">
    <font>
      <sz val="11.0"/>
      <color theme="1"/>
      <name val="Calibri"/>
      <scheme val="minor"/>
    </font>
    <font>
      <b/>
      <sz val="20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FF0000"/>
      <name val="Calibri"/>
    </font>
    <font>
      <color rgb="FFFF0000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  <font>
      <b/>
      <sz val="16.0"/>
      <color theme="1"/>
      <name val="Calibri"/>
    </font>
    <font>
      <b/>
      <sz val="14.0"/>
      <color rgb="FFFF0000"/>
      <name val="Calibri"/>
    </font>
    <font>
      <b/>
      <sz val="11.0"/>
      <color theme="1"/>
      <name val="Times New Roman"/>
    </font>
    <font>
      <b/>
      <sz val="15.0"/>
      <color rgb="FF0000FF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1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</border>
    <border>
      <top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bottom/>
    </border>
    <border>
      <bottom/>
    </border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/>
    </xf>
    <xf borderId="0" fillId="2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2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5" fontId="3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0" fillId="0" fontId="4" numFmtId="0" xfId="0" applyAlignment="1" applyFont="1">
      <alignment horizontal="center"/>
    </xf>
    <xf borderId="1" fillId="2" fontId="9" numFmtId="0" xfId="0" applyAlignment="1" applyBorder="1" applyFont="1">
      <alignment horizontal="right" readingOrder="0" vertical="center"/>
    </xf>
    <xf borderId="1" fillId="2" fontId="9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right" readingOrder="0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right" readingOrder="0" shrinkToFit="0" vertical="center" wrapText="1"/>
    </xf>
    <xf borderId="1" fillId="0" fontId="9" numFmtId="1" xfId="0" applyAlignment="1" applyBorder="1" applyFont="1" applyNumberFormat="1">
      <alignment horizontal="right" shrinkToFit="0" vertical="center" wrapText="1"/>
    </xf>
    <xf borderId="6" fillId="0" fontId="9" numFmtId="165" xfId="0" applyAlignment="1" applyBorder="1" applyFont="1" applyNumberFormat="1">
      <alignment horizontal="center" readingOrder="0" shrinkToFit="0" vertical="center" wrapText="1"/>
    </xf>
    <xf borderId="6" fillId="4" fontId="9" numFmtId="166" xfId="0" applyAlignment="1" applyBorder="1" applyFont="1" applyNumberForma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readingOrder="0" vertical="center"/>
    </xf>
    <xf borderId="1" fillId="0" fontId="9" numFmtId="166" xfId="0" applyAlignment="1" applyBorder="1" applyFont="1" applyNumberFormat="1">
      <alignment horizontal="center" shrinkToFit="0" wrapText="1"/>
    </xf>
    <xf borderId="1" fillId="0" fontId="9" numFmtId="166" xfId="0" applyAlignment="1" applyBorder="1" applyFont="1" applyNumberFormat="1">
      <alignment horizontal="center" readingOrder="0" shrinkToFit="0" wrapText="1"/>
    </xf>
    <xf borderId="1" fillId="0" fontId="9" numFmtId="166" xfId="0" applyAlignment="1" applyBorder="1" applyFont="1" applyNumberFormat="1">
      <alignment vertical="center"/>
    </xf>
    <xf borderId="1" fillId="0" fontId="9" numFmtId="164" xfId="0" applyBorder="1" applyFont="1" applyNumberFormat="1"/>
    <xf borderId="1" fillId="5" fontId="9" numFmtId="166" xfId="0" applyAlignment="1" applyBorder="1" applyFont="1" applyNumberFormat="1">
      <alignment horizontal="center" readingOrder="0" shrinkToFit="0" vertical="center" wrapText="1"/>
    </xf>
    <xf borderId="1" fillId="0" fontId="9" numFmtId="166" xfId="0" applyAlignment="1" applyBorder="1" applyFont="1" applyNumberFormat="1">
      <alignment horizontal="center" readingOrder="0" shrinkToFit="0" vertical="center" wrapText="1"/>
    </xf>
    <xf borderId="1" fillId="0" fontId="9" numFmtId="166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10" numFmtId="166" xfId="0" applyBorder="1" applyFont="1" applyNumberFormat="1"/>
    <xf borderId="1" fillId="0" fontId="11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1" fillId="2" fontId="9" numFmtId="0" xfId="0" applyBorder="1" applyFont="1"/>
    <xf borderId="1" fillId="2" fontId="9" numFmtId="0" xfId="0" applyAlignment="1" applyBorder="1" applyFont="1">
      <alignment horizontal="center" readingOrder="0"/>
    </xf>
    <xf borderId="6" fillId="4" fontId="9" numFmtId="164" xfId="0" applyAlignment="1" applyBorder="1" applyFont="1" applyNumberFormat="1">
      <alignment readingOrder="0"/>
    </xf>
    <xf borderId="1" fillId="0" fontId="9" numFmtId="164" xfId="0" applyAlignment="1" applyBorder="1" applyFont="1" applyNumberFormat="1">
      <alignment readingOrder="0"/>
    </xf>
    <xf borderId="1" fillId="0" fontId="12" numFmtId="0" xfId="0" applyAlignment="1" applyBorder="1" applyFont="1">
      <alignment horizontal="center" readingOrder="0"/>
    </xf>
    <xf borderId="1" fillId="2" fontId="10" numFmtId="0" xfId="0" applyBorder="1" applyFont="1"/>
    <xf borderId="1" fillId="2" fontId="10" numFmtId="0" xfId="0" applyAlignment="1" applyBorder="1" applyFont="1">
      <alignment readingOrder="0"/>
    </xf>
    <xf borderId="1" fillId="2" fontId="10" numFmtId="0" xfId="0" applyAlignment="1" applyBorder="1" applyFont="1">
      <alignment horizontal="center" readingOrder="0"/>
    </xf>
    <xf borderId="1" fillId="4" fontId="9" numFmtId="164" xfId="0" applyAlignment="1" applyBorder="1" applyFont="1" applyNumberFormat="1">
      <alignment readingOrder="0"/>
    </xf>
    <xf borderId="1" fillId="2" fontId="10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2" fontId="9" numFmtId="0" xfId="0" applyAlignment="1" applyBorder="1" applyFont="1">
      <alignment readingOrder="0"/>
    </xf>
    <xf borderId="7" fillId="2" fontId="13" numFmtId="0" xfId="0" applyAlignment="1" applyBorder="1" applyFont="1">
      <alignment readingOrder="0"/>
    </xf>
    <xf borderId="7" fillId="2" fontId="13" numFmtId="0" xfId="0" applyBorder="1" applyFont="1"/>
    <xf borderId="1" fillId="2" fontId="9" numFmtId="0" xfId="0" applyAlignment="1" applyBorder="1" applyFont="1">
      <alignment horizontal="center"/>
    </xf>
    <xf borderId="1" fillId="4" fontId="9" numFmtId="164" xfId="0" applyBorder="1" applyFont="1" applyNumberFormat="1"/>
    <xf borderId="1" fillId="3" fontId="9" numFmtId="0" xfId="0" applyBorder="1" applyFont="1"/>
    <xf borderId="1" fillId="3" fontId="9" numFmtId="0" xfId="0" applyAlignment="1" applyBorder="1" applyFont="1">
      <alignment horizontal="center"/>
    </xf>
    <xf borderId="1" fillId="0" fontId="9" numFmtId="0" xfId="0" applyAlignment="1" applyBorder="1" applyFont="1">
      <alignment horizontal="left" readingOrder="0" shrinkToFit="0" vertical="center" wrapText="1"/>
    </xf>
    <xf borderId="6" fillId="0" fontId="9" numFmtId="165" xfId="0" applyAlignment="1" applyBorder="1" applyFont="1" applyNumberFormat="1">
      <alignment horizontal="center" shrinkToFit="0" vertical="center" wrapText="1"/>
    </xf>
    <xf borderId="1" fillId="2" fontId="9" numFmtId="164" xfId="0" applyAlignment="1" applyBorder="1" applyFont="1" applyNumberFormat="1">
      <alignment readingOrder="0"/>
    </xf>
    <xf borderId="1" fillId="2" fontId="9" numFmtId="164" xfId="0" applyBorder="1" applyFont="1" applyNumberFormat="1"/>
    <xf borderId="1" fillId="3" fontId="9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1" fillId="3" fontId="9" numFmtId="0" xfId="0" applyAlignment="1" applyBorder="1" applyFont="1">
      <alignment readingOrder="0" shrinkToFit="0" wrapText="1"/>
    </xf>
    <xf borderId="1" fillId="3" fontId="9" numFmtId="0" xfId="0" applyAlignment="1" applyBorder="1" applyFont="1">
      <alignment horizontal="left" readingOrder="0"/>
    </xf>
    <xf borderId="1" fillId="6" fontId="9" numFmtId="0" xfId="0" applyAlignment="1" applyBorder="1" applyFill="1" applyFont="1">
      <alignment readingOrder="0" shrinkToFit="0" wrapText="1"/>
    </xf>
    <xf borderId="1" fillId="6" fontId="9" numFmtId="0" xfId="0" applyAlignment="1" applyBorder="1" applyFont="1">
      <alignment horizontal="left" readingOrder="0"/>
    </xf>
    <xf borderId="1" fillId="6" fontId="9" numFmtId="0" xfId="0" applyAlignment="1" applyBorder="1" applyFont="1">
      <alignment horizontal="center" readingOrder="0"/>
    </xf>
    <xf borderId="1" fillId="6" fontId="9" numFmtId="0" xfId="0" applyAlignment="1" applyBorder="1" applyFont="1">
      <alignment horizontal="left"/>
    </xf>
    <xf quotePrefix="1" borderId="1" fillId="6" fontId="9" numFmtId="0" xfId="0" applyAlignment="1" applyBorder="1" applyFont="1">
      <alignment horizontal="left" readingOrder="0"/>
    </xf>
    <xf borderId="1" fillId="6" fontId="9" numFmtId="0" xfId="0" applyBorder="1" applyFont="1"/>
    <xf quotePrefix="1" borderId="1" fillId="6" fontId="9" numFmtId="14" xfId="0" applyAlignment="1" applyBorder="1" applyFont="1" applyNumberFormat="1">
      <alignment horizontal="left"/>
    </xf>
    <xf borderId="1" fillId="6" fontId="9" numFmtId="0" xfId="0" applyAlignment="1" applyBorder="1" applyFont="1">
      <alignment readingOrder="0"/>
    </xf>
    <xf borderId="1" fillId="6" fontId="9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1" fillId="6" fontId="9" numFmtId="14" xfId="0" applyAlignment="1" applyBorder="1" applyFont="1" applyNumberFormat="1">
      <alignment horizontal="left"/>
    </xf>
    <xf borderId="1" fillId="7" fontId="9" numFmtId="0" xfId="0" applyBorder="1" applyFill="1" applyFont="1"/>
    <xf borderId="1" fillId="7" fontId="9" numFmtId="0" xfId="0" applyAlignment="1" applyBorder="1" applyFont="1">
      <alignment horizontal="center" readingOrder="0"/>
    </xf>
    <xf borderId="1" fillId="7" fontId="9" numFmtId="0" xfId="0" applyAlignment="1" applyBorder="1" applyFont="1">
      <alignment horizontal="left" readingOrder="0" shrinkToFit="0" vertical="center" wrapText="1"/>
    </xf>
    <xf borderId="1" fillId="7" fontId="9" numFmtId="0" xfId="0" applyAlignment="1" applyBorder="1" applyFont="1">
      <alignment readingOrder="0"/>
    </xf>
    <xf borderId="6" fillId="7" fontId="9" numFmtId="0" xfId="0" applyBorder="1" applyFont="1"/>
    <xf borderId="6" fillId="8" fontId="9" numFmtId="0" xfId="0" applyBorder="1" applyFill="1" applyFont="1"/>
    <xf borderId="1" fillId="8" fontId="9" numFmtId="0" xfId="0" applyAlignment="1" applyBorder="1" applyFont="1">
      <alignment readingOrder="0"/>
    </xf>
    <xf borderId="1" fillId="8" fontId="9" numFmtId="0" xfId="0" applyAlignment="1" applyBorder="1" applyFont="1">
      <alignment horizontal="center" readingOrder="0"/>
    </xf>
    <xf borderId="6" fillId="8" fontId="13" numFmtId="0" xfId="0" applyBorder="1" applyFont="1"/>
    <xf borderId="7" fillId="8" fontId="13" numFmtId="0" xfId="0" applyBorder="1" applyFont="1"/>
    <xf borderId="7" fillId="8" fontId="13" numFmtId="0" xfId="0" applyAlignment="1" applyBorder="1" applyFont="1">
      <alignment horizontal="center"/>
    </xf>
    <xf borderId="7" fillId="0" fontId="13" numFmtId="164" xfId="0" applyAlignment="1" applyBorder="1" applyFont="1" applyNumberFormat="1">
      <alignment readingOrder="0"/>
    </xf>
    <xf borderId="1" fillId="9" fontId="9" numFmtId="0" xfId="0" applyAlignment="1" applyBorder="1" applyFill="1" applyFont="1">
      <alignment readingOrder="0"/>
    </xf>
    <xf borderId="1" fillId="9" fontId="9" numFmtId="0" xfId="0" applyAlignment="1" applyBorder="1" applyFont="1">
      <alignment horizontal="left" readingOrder="0"/>
    </xf>
    <xf borderId="1" fillId="9" fontId="9" numFmtId="0" xfId="0" applyAlignment="1" applyBorder="1" applyFont="1">
      <alignment horizontal="center"/>
    </xf>
    <xf borderId="1" fillId="9" fontId="9" numFmtId="0" xfId="0" applyAlignment="1" applyBorder="1" applyFont="1">
      <alignment horizontal="left" readingOrder="0" shrinkToFit="0" vertical="center" wrapText="1"/>
    </xf>
    <xf borderId="1" fillId="9" fontId="9" numFmtId="0" xfId="0" applyAlignment="1" applyBorder="1" applyFont="1">
      <alignment horizontal="center" readingOrder="0"/>
    </xf>
    <xf borderId="6" fillId="5" fontId="9" numFmtId="0" xfId="0" applyBorder="1" applyFont="1"/>
    <xf borderId="1" fillId="5" fontId="9" numFmtId="0" xfId="0" applyBorder="1" applyFont="1"/>
    <xf borderId="1" fillId="5" fontId="9" numFmtId="0" xfId="0" applyAlignment="1" applyBorder="1" applyFont="1">
      <alignment horizontal="center"/>
    </xf>
    <xf borderId="1" fillId="5" fontId="9" numFmtId="0" xfId="0" applyAlignment="1" applyBorder="1" applyFont="1">
      <alignment horizontal="left" readingOrder="0" shrinkToFit="0" vertical="center" wrapText="1"/>
    </xf>
    <xf borderId="1" fillId="5" fontId="9" numFmtId="0" xfId="0" applyAlignment="1" applyBorder="1" applyFont="1">
      <alignment readingOrder="0"/>
    </xf>
    <xf borderId="1" fillId="5" fontId="10" numFmtId="0" xfId="0" applyBorder="1" applyFont="1"/>
    <xf borderId="1" fillId="5" fontId="10" numFmtId="0" xfId="0" applyAlignment="1" applyBorder="1" applyFont="1">
      <alignment readingOrder="0"/>
    </xf>
    <xf borderId="1" fillId="5" fontId="9" numFmtId="0" xfId="0" applyAlignment="1" applyBorder="1" applyFont="1">
      <alignment horizontal="center" readingOrder="0"/>
    </xf>
    <xf borderId="1" fillId="5" fontId="9" numFmtId="0" xfId="0" applyAlignment="1" applyBorder="1" applyFont="1">
      <alignment horizontal="left"/>
    </xf>
    <xf borderId="1" fillId="5" fontId="10" numFmtId="0" xfId="0" applyAlignment="1" applyBorder="1" applyFont="1">
      <alignment horizontal="center"/>
    </xf>
    <xf borderId="1" fillId="5" fontId="13" numFmtId="0" xfId="0" applyBorder="1" applyFont="1"/>
    <xf borderId="1" fillId="5" fontId="13" numFmtId="0" xfId="0" applyAlignment="1" applyBorder="1" applyFont="1">
      <alignment horizontal="center"/>
    </xf>
    <xf borderId="1" fillId="0" fontId="13" numFmtId="164" xfId="0" applyBorder="1" applyFont="1" applyNumberFormat="1"/>
    <xf borderId="1" fillId="5" fontId="2" numFmtId="0" xfId="0" applyAlignment="1" applyBorder="1" applyFont="1">
      <alignment readingOrder="0"/>
    </xf>
    <xf borderId="7" fillId="5" fontId="13" numFmtId="0" xfId="0" applyAlignment="1" applyBorder="1" applyFont="1">
      <alignment horizontal="center" readingOrder="0"/>
    </xf>
    <xf borderId="1" fillId="5" fontId="9" numFmtId="0" xfId="0" applyAlignment="1" applyBorder="1" applyFont="1">
      <alignment horizontal="left" shrinkToFit="0" vertical="center" wrapText="1"/>
    </xf>
    <xf borderId="1" fillId="8" fontId="9" numFmtId="0" xfId="0" applyAlignment="1" applyBorder="1" applyFont="1">
      <alignment horizontal="left" readingOrder="0"/>
    </xf>
    <xf borderId="1" fillId="8" fontId="9" numFmtId="0" xfId="0" applyAlignment="1" applyBorder="1" applyFont="1">
      <alignment horizontal="center"/>
    </xf>
    <xf borderId="1" fillId="8" fontId="9" numFmtId="0" xfId="0" applyAlignment="1" applyBorder="1" applyFont="1">
      <alignment horizontal="left" readingOrder="0" shrinkToFit="0" vertical="center" wrapText="1"/>
    </xf>
    <xf borderId="1" fillId="10" fontId="9" numFmtId="0" xfId="0" applyAlignment="1" applyBorder="1" applyFill="1" applyFont="1">
      <alignment readingOrder="0"/>
    </xf>
    <xf borderId="1" fillId="10" fontId="9" numFmtId="0" xfId="0" applyAlignment="1" applyBorder="1" applyFont="1">
      <alignment horizontal="center"/>
    </xf>
    <xf borderId="1" fillId="10" fontId="9" numFmtId="0" xfId="0" applyBorder="1" applyFont="1"/>
    <xf borderId="1" fillId="10" fontId="9" numFmtId="0" xfId="0" applyAlignment="1" applyBorder="1" applyFont="1">
      <alignment horizontal="center" readingOrder="0"/>
    </xf>
    <xf borderId="0" fillId="0" fontId="2" numFmtId="0" xfId="0" applyFont="1"/>
    <xf borderId="1" fillId="3" fontId="9" numFmtId="0" xfId="0" applyAlignment="1" applyBorder="1" applyFont="1">
      <alignment readingOrder="0"/>
    </xf>
    <xf borderId="6" fillId="11" fontId="13" numFmtId="0" xfId="0" applyAlignment="1" applyBorder="1" applyFill="1" applyFont="1">
      <alignment readingOrder="0"/>
    </xf>
    <xf borderId="7" fillId="11" fontId="13" numFmtId="0" xfId="0" applyBorder="1" applyFont="1"/>
    <xf borderId="7" fillId="11" fontId="13" numFmtId="0" xfId="0" applyAlignment="1" applyBorder="1" applyFont="1">
      <alignment horizontal="center" readingOrder="0"/>
    </xf>
    <xf borderId="1" fillId="11" fontId="9" numFmtId="0" xfId="0" applyAlignment="1" applyBorder="1" applyFont="1">
      <alignment readingOrder="0"/>
    </xf>
    <xf borderId="6" fillId="11" fontId="13" numFmtId="0" xfId="0" applyBorder="1" applyFont="1"/>
    <xf borderId="7" fillId="11" fontId="13" numFmtId="0" xfId="0" applyAlignment="1" applyBorder="1" applyFont="1">
      <alignment horizontal="center"/>
    </xf>
    <xf borderId="1" fillId="11" fontId="9" numFmtId="0" xfId="0" applyBorder="1" applyFont="1"/>
    <xf borderId="7" fillId="0" fontId="13" numFmtId="164" xfId="0" applyAlignment="1" applyBorder="1" applyFont="1" applyNumberFormat="1">
      <alignment horizontal="right" readingOrder="0"/>
    </xf>
    <xf borderId="1" fillId="12" fontId="9" numFmtId="0" xfId="0" applyAlignment="1" applyBorder="1" applyFill="1" applyFont="1">
      <alignment vertical="bottom"/>
    </xf>
    <xf borderId="1" fillId="12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shrinkToFit="0" wrapText="1"/>
    </xf>
    <xf borderId="1" fillId="12" fontId="9" numFmtId="0" xfId="0" applyAlignment="1" applyBorder="1" applyFont="1">
      <alignment readingOrder="0"/>
    </xf>
    <xf borderId="6" fillId="0" fontId="9" numFmtId="165" xfId="0" applyAlignment="1" applyBorder="1" applyFont="1" applyNumberFormat="1">
      <alignment horizontal="center" shrinkToFit="0" wrapText="1"/>
    </xf>
    <xf borderId="1" fillId="4" fontId="9" numFmtId="164" xfId="0" applyAlignment="1" applyBorder="1" applyFont="1" applyNumberFormat="1">
      <alignment horizontal="right" readingOrder="0" vertical="bottom"/>
    </xf>
    <xf borderId="1" fillId="2" fontId="9" numFmtId="164" xfId="0" applyAlignment="1" applyBorder="1" applyFont="1" applyNumberFormat="1">
      <alignment horizontal="right" vertical="bottom"/>
    </xf>
    <xf borderId="1" fillId="0" fontId="9" numFmtId="164" xfId="0" applyAlignment="1" applyBorder="1" applyFont="1" applyNumberFormat="1">
      <alignment horizontal="right" vertical="bottom"/>
    </xf>
    <xf borderId="1" fillId="0" fontId="9" numFmtId="166" xfId="0" applyAlignment="1" applyBorder="1" applyFont="1" applyNumberFormat="1">
      <alignment horizontal="right" vertical="bottom"/>
    </xf>
    <xf borderId="1" fillId="12" fontId="9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readingOrder="0"/>
    </xf>
    <xf borderId="1" fillId="8" fontId="9" numFmtId="0" xfId="0" applyBorder="1" applyFont="1"/>
    <xf borderId="1" fillId="8" fontId="13" numFmtId="0" xfId="0" applyBorder="1" applyFont="1"/>
    <xf borderId="1" fillId="8" fontId="13" numFmtId="0" xfId="0" applyAlignment="1" applyBorder="1" applyFont="1">
      <alignment horizontal="center"/>
    </xf>
    <xf borderId="1" fillId="0" fontId="9" numFmtId="165" xfId="0" applyAlignment="1" applyBorder="1" applyFont="1" applyNumberFormat="1">
      <alignment horizontal="center" shrinkToFit="0" vertical="center" wrapText="1"/>
    </xf>
    <xf borderId="1" fillId="0" fontId="13" numFmtId="164" xfId="0" applyAlignment="1" applyBorder="1" applyFont="1" applyNumberFormat="1">
      <alignment horizontal="right" readingOrder="0"/>
    </xf>
    <xf borderId="1" fillId="0" fontId="10" numFmtId="166" xfId="0" applyAlignment="1" applyBorder="1" applyFont="1" applyNumberFormat="1">
      <alignment readingOrder="0"/>
    </xf>
    <xf borderId="1" fillId="8" fontId="2" numFmtId="0" xfId="0" applyAlignment="1" applyBorder="1" applyFont="1">
      <alignment readingOrder="0"/>
    </xf>
    <xf borderId="7" fillId="8" fontId="1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2" fontId="2" numFmtId="0" xfId="0" applyFont="1"/>
    <xf borderId="0" fillId="0" fontId="10" numFmtId="0" xfId="0" applyAlignment="1" applyFont="1">
      <alignment horizontal="center"/>
    </xf>
    <xf borderId="1" fillId="0" fontId="12" numFmtId="0" xfId="0" applyAlignment="1" applyBorder="1" applyFont="1">
      <alignment horizontal="center"/>
    </xf>
    <xf borderId="2" fillId="2" fontId="6" numFmtId="0" xfId="0" applyAlignment="1" applyBorder="1" applyFont="1">
      <alignment horizontal="center"/>
    </xf>
    <xf borderId="1" fillId="0" fontId="9" numFmtId="166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center"/>
    </xf>
    <xf borderId="1" fillId="0" fontId="6" numFmtId="164" xfId="0" applyBorder="1" applyFont="1" applyNumberFormat="1"/>
    <xf borderId="1" fillId="2" fontId="6" numFmtId="164" xfId="0" applyBorder="1" applyFont="1" applyNumberFormat="1"/>
    <xf borderId="0" fillId="2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2" fontId="6" numFmtId="0" xfId="0" applyFont="1"/>
    <xf borderId="0" fillId="0" fontId="6" numFmtId="0" xfId="0" applyFont="1"/>
    <xf borderId="9" fillId="13" fontId="9" numFmtId="0" xfId="0" applyBorder="1" applyFill="1" applyFont="1"/>
    <xf borderId="10" fillId="13" fontId="9" numFmtId="0" xfId="0" applyBorder="1" applyFont="1"/>
    <xf borderId="11" fillId="13" fontId="9" numFmtId="0" xfId="0" applyBorder="1" applyFont="1"/>
    <xf borderId="12" fillId="13" fontId="9" numFmtId="0" xfId="0" applyBorder="1" applyFont="1"/>
    <xf borderId="13" fillId="13" fontId="1" numFmtId="0" xfId="0" applyAlignment="1" applyBorder="1" applyFont="1">
      <alignment horizontal="center"/>
    </xf>
    <xf borderId="14" fillId="0" fontId="7" numFmtId="0" xfId="0" applyBorder="1" applyFont="1"/>
    <xf borderId="15" fillId="13" fontId="9" numFmtId="0" xfId="0" applyBorder="1" applyFont="1"/>
    <xf borderId="16" fillId="13" fontId="9" numFmtId="0" xfId="0" applyBorder="1" applyFont="1"/>
    <xf borderId="0" fillId="13" fontId="15" numFmtId="0" xfId="0" applyAlignment="1" applyFont="1">
      <alignment horizontal="right"/>
    </xf>
    <xf borderId="0" fillId="13" fontId="15" numFmtId="0" xfId="0" applyAlignment="1" applyFont="1">
      <alignment horizontal="center"/>
    </xf>
    <xf borderId="0" fillId="13" fontId="15" numFmtId="0" xfId="0" applyAlignment="1" applyFont="1">
      <alignment horizontal="left"/>
    </xf>
    <xf borderId="17" fillId="13" fontId="9" numFmtId="0" xfId="0" applyBorder="1" applyFont="1"/>
    <xf borderId="18" fillId="13" fontId="16" numFmtId="0" xfId="0" applyAlignment="1" applyBorder="1" applyFont="1">
      <alignment horizontal="center" readingOrder="0"/>
    </xf>
    <xf borderId="19" fillId="0" fontId="7" numFmtId="0" xfId="0" applyBorder="1" applyFont="1"/>
    <xf borderId="20" fillId="13" fontId="9" numFmtId="0" xfId="0" applyBorder="1" applyFont="1"/>
    <xf borderId="16" fillId="13" fontId="9" numFmtId="0" xfId="0" applyAlignment="1" applyBorder="1" applyFont="1">
      <alignment horizontal="center" vertical="center"/>
    </xf>
    <xf borderId="21" fillId="13" fontId="3" numFmtId="0" xfId="0" applyAlignment="1" applyBorder="1" applyFont="1">
      <alignment horizontal="left" vertical="center"/>
    </xf>
    <xf borderId="21" fillId="13" fontId="3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left" vertical="center"/>
    </xf>
    <xf borderId="21" fillId="0" fontId="17" numFmtId="0" xfId="0" applyAlignment="1" applyBorder="1" applyFont="1">
      <alignment horizontal="left" vertical="center"/>
    </xf>
    <xf borderId="17" fillId="13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21" fillId="13" fontId="3" numFmtId="0" xfId="0" applyAlignment="1" applyBorder="1" applyFont="1">
      <alignment horizontal="left" readingOrder="0"/>
    </xf>
    <xf borderId="21" fillId="13" fontId="6" numFmtId="0" xfId="0" applyAlignment="1" applyBorder="1" applyFont="1">
      <alignment horizontal="center" readingOrder="0"/>
    </xf>
    <xf borderId="21" fillId="13" fontId="3" numFmtId="0" xfId="0" applyAlignment="1" applyBorder="1" applyFont="1">
      <alignment horizontal="left"/>
    </xf>
    <xf borderId="21" fillId="13" fontId="3" numFmtId="14" xfId="0" applyAlignment="1" applyBorder="1" applyFont="1" applyNumberFormat="1">
      <alignment horizontal="center" readingOrder="0"/>
    </xf>
    <xf quotePrefix="1" borderId="17" fillId="13" fontId="9" numFmtId="0" xfId="0" applyAlignment="1" applyBorder="1" applyFont="1">
      <alignment readingOrder="0"/>
    </xf>
    <xf borderId="0" fillId="13" fontId="18" numFmtId="0" xfId="0" applyAlignment="1" applyFont="1">
      <alignment horizontal="center"/>
    </xf>
    <xf borderId="22" fillId="13" fontId="5" numFmtId="0" xfId="0" applyBorder="1" applyFont="1"/>
    <xf borderId="23" fillId="13" fontId="5" numFmtId="167" xfId="0" applyAlignment="1" applyBorder="1" applyFont="1" applyNumberFormat="1">
      <alignment horizontal="left"/>
    </xf>
    <xf borderId="22" fillId="13" fontId="5" numFmtId="0" xfId="0" applyAlignment="1" applyBorder="1" applyFont="1">
      <alignment horizontal="left"/>
    </xf>
    <xf borderId="23" fillId="13" fontId="5" numFmtId="167" xfId="0" applyBorder="1" applyFont="1" applyNumberFormat="1"/>
    <xf borderId="24" fillId="13" fontId="5" numFmtId="0" xfId="0" applyAlignment="1" applyBorder="1" applyFont="1">
      <alignment readingOrder="0"/>
    </xf>
    <xf borderId="25" fillId="13" fontId="5" numFmtId="167" xfId="0" applyAlignment="1" applyBorder="1" applyFont="1" applyNumberFormat="1">
      <alignment horizontal="left"/>
    </xf>
    <xf borderId="24" fillId="13" fontId="5" numFmtId="0" xfId="0" applyAlignment="1" applyBorder="1" applyFont="1">
      <alignment horizontal="left"/>
    </xf>
    <xf borderId="25" fillId="13" fontId="5" numFmtId="167" xfId="0" applyBorder="1" applyFont="1" applyNumberFormat="1"/>
    <xf borderId="24" fillId="13" fontId="19" numFmtId="0" xfId="0" applyBorder="1" applyFont="1"/>
    <xf borderId="24" fillId="13" fontId="19" numFmtId="0" xfId="0" applyAlignment="1" applyBorder="1" applyFont="1">
      <alignment horizontal="left"/>
    </xf>
    <xf borderId="25" fillId="13" fontId="19" numFmtId="167" xfId="0" applyBorder="1" applyFont="1" applyNumberFormat="1"/>
    <xf borderId="26" fillId="13" fontId="20" numFmtId="0" xfId="0" applyBorder="1" applyFont="1"/>
    <xf borderId="27" fillId="13" fontId="20" numFmtId="167" xfId="0" applyAlignment="1" applyBorder="1" applyFont="1" applyNumberFormat="1">
      <alignment horizontal="left"/>
    </xf>
    <xf borderId="26" fillId="13" fontId="20" numFmtId="0" xfId="0" applyAlignment="1" applyBorder="1" applyFont="1">
      <alignment horizontal="left"/>
    </xf>
    <xf borderId="27" fillId="13" fontId="20" numFmtId="167" xfId="0" applyBorder="1" applyFont="1" applyNumberFormat="1"/>
    <xf borderId="28" fillId="13" fontId="9" numFmtId="0" xfId="0" applyBorder="1" applyFont="1"/>
    <xf borderId="12" fillId="13" fontId="9" numFmtId="0" xfId="0" applyAlignment="1" applyBorder="1" applyFont="1">
      <alignment horizontal="center"/>
    </xf>
    <xf borderId="1" fillId="13" fontId="3" numFmtId="0" xfId="0" applyAlignment="1" applyBorder="1" applyFont="1">
      <alignment horizontal="left" vertical="center"/>
    </xf>
    <xf borderId="2" fillId="13" fontId="6" numFmtId="168" xfId="0" applyAlignment="1" applyBorder="1" applyFont="1" applyNumberFormat="1">
      <alignment horizontal="left" vertical="center"/>
    </xf>
    <xf borderId="15" fillId="13" fontId="9" numFmtId="0" xfId="0" applyAlignment="1" applyBorder="1" applyFont="1">
      <alignment horizontal="center"/>
    </xf>
    <xf borderId="2" fillId="13" fontId="6" numFmtId="169" xfId="0" applyAlignment="1" applyBorder="1" applyFont="1" applyNumberFormat="1">
      <alignment horizontal="left" readingOrder="0" vertical="center"/>
    </xf>
    <xf borderId="1" fillId="13" fontId="6" numFmtId="0" xfId="0" applyBorder="1" applyFont="1"/>
    <xf borderId="2" fillId="13" fontId="21" numFmtId="167" xfId="0" applyAlignment="1" applyBorder="1" applyFont="1" applyNumberFormat="1">
      <alignment horizontal="left"/>
    </xf>
    <xf borderId="3" fillId="13" fontId="21" numFmtId="0" xfId="0" applyAlignment="1" applyBorder="1" applyFont="1">
      <alignment horizontal="left"/>
    </xf>
    <xf borderId="28" fillId="13" fontId="6" numFmtId="0" xfId="0" applyAlignment="1" applyBorder="1" applyFont="1">
      <alignment horizontal="center"/>
    </xf>
    <xf borderId="28" fillId="13" fontId="9" numFmtId="0" xfId="0" applyAlignment="1" applyBorder="1" applyFont="1">
      <alignment horizontal="left"/>
    </xf>
    <xf borderId="28" fillId="13" fontId="9" numFmtId="0" xfId="0" applyAlignment="1" applyBorder="1" applyFont="1">
      <alignment horizontal="center"/>
    </xf>
    <xf borderId="29" fillId="13" fontId="6" numFmtId="0" xfId="0" applyAlignment="1" applyBorder="1" applyFont="1">
      <alignment horizontal="center"/>
    </xf>
    <xf borderId="29" fillId="2" fontId="9" numFmtId="0" xfId="0" applyAlignment="1" applyBorder="1" applyFont="1">
      <alignment horizontal="left" readingOrder="0"/>
    </xf>
    <xf borderId="29" fillId="13" fontId="9" numFmtId="0" xfId="0" applyAlignment="1" applyBorder="1" applyFont="1">
      <alignment horizontal="center"/>
    </xf>
    <xf borderId="29" fillId="13" fontId="9" numFmtId="0" xfId="0" applyBorder="1" applyFont="1"/>
    <xf borderId="29" fillId="13" fontId="9" numFmtId="0" xfId="0" applyAlignment="1" applyBorder="1" applyFont="1">
      <alignment readingOrder="0"/>
    </xf>
    <xf borderId="0" fillId="0" fontId="10" numFmtId="0" xfId="0" applyFont="1"/>
    <xf borderId="0" fillId="13" fontId="9" numFmtId="0" xfId="0" applyFont="1"/>
    <xf borderId="30" fillId="13" fontId="6" numFmtId="0" xfId="0" applyAlignment="1" applyBorder="1" applyFont="1">
      <alignment horizontal="center" readingOrder="0"/>
    </xf>
    <xf borderId="31" fillId="13" fontId="6" numFmtId="0" xfId="0" applyAlignment="1" applyBorder="1" applyFont="1">
      <alignment horizontal="center" readingOrder="0"/>
    </xf>
    <xf borderId="32" fillId="13" fontId="6" numFmtId="0" xfId="0" applyAlignment="1" applyBorder="1" applyFont="1">
      <alignment horizontal="center"/>
    </xf>
    <xf borderId="33" fillId="13" fontId="9" numFmtId="0" xfId="0" applyBorder="1" applyFont="1"/>
    <xf borderId="34" fillId="13" fontId="9" numFmtId="0" xfId="0" applyBorder="1" applyFont="1"/>
    <xf borderId="35" fillId="13" fontId="9" numFmtId="0" xfId="0" applyBorder="1" applyFont="1"/>
    <xf borderId="25" fillId="13" fontId="5" numFmtId="167" xfId="0" applyAlignment="1" applyBorder="1" applyFont="1" applyNumberFormat="1">
      <alignment horizontal="left" readingOrder="0"/>
    </xf>
    <xf borderId="2" fillId="13" fontId="6" numFmtId="167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14"/>
    <col customWidth="1" min="2" max="2" width="26.14"/>
    <col customWidth="1" min="3" max="3" width="12.0"/>
    <col customWidth="1" min="4" max="4" width="19.57"/>
    <col customWidth="1" min="5" max="5" width="17.71"/>
    <col customWidth="1" min="6" max="6" width="17.0"/>
    <col customWidth="1" min="7" max="7" width="8.86"/>
    <col customWidth="1" min="8" max="8" width="8.14"/>
    <col customWidth="1" min="9" max="9" width="9.43"/>
    <col customWidth="1" min="10" max="10" width="8.43"/>
    <col customWidth="1" min="11" max="11" width="8.86"/>
    <col customWidth="1" min="12" max="12" width="9.86"/>
    <col customWidth="1" min="13" max="13" width="9.14"/>
    <col customWidth="1" min="14" max="14" width="11.29"/>
    <col customWidth="1" min="15" max="15" width="11.14"/>
    <col customWidth="1" min="16" max="16" width="12.14"/>
    <col customWidth="1" min="17" max="17" width="10.71"/>
    <col customWidth="1" min="18" max="18" width="10.29"/>
    <col customWidth="1" min="19" max="19" width="9.29"/>
    <col customWidth="1" min="20" max="20" width="8.57"/>
    <col customWidth="1" min="21" max="21" width="10.14"/>
    <col customWidth="1" min="22" max="22" width="7.57"/>
    <col customWidth="1" min="23" max="23" width="10.57"/>
    <col customWidth="1" min="24" max="24" width="12.29"/>
    <col customWidth="1" min="25" max="25" width="10.57"/>
    <col customWidth="1" min="26" max="26" width="11.14"/>
    <col customWidth="1" min="27" max="27" width="18.0"/>
    <col customWidth="1" min="28" max="28" width="10.86"/>
    <col customWidth="1" min="29" max="29" width="5.29"/>
    <col customWidth="1" min="30" max="31" width="8.71"/>
  </cols>
  <sheetData>
    <row r="1">
      <c r="A1" s="1" t="s">
        <v>0</v>
      </c>
      <c r="Z1" s="2"/>
    </row>
    <row r="2">
      <c r="A2" s="3" t="s">
        <v>1</v>
      </c>
      <c r="Z2" s="2"/>
    </row>
    <row r="3">
      <c r="A3" s="4" t="s">
        <v>2</v>
      </c>
      <c r="Z3" s="2"/>
    </row>
    <row r="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Z4" s="2"/>
    </row>
    <row r="5">
      <c r="A5" s="7" t="s">
        <v>3</v>
      </c>
      <c r="B5" s="8" t="s">
        <v>4</v>
      </c>
      <c r="C5" s="9" t="s">
        <v>5</v>
      </c>
      <c r="D5" s="8" t="s">
        <v>6</v>
      </c>
      <c r="E5" s="10" t="s">
        <v>7</v>
      </c>
      <c r="F5" s="9" t="s">
        <v>8</v>
      </c>
      <c r="G5" s="11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12" t="s">
        <v>14</v>
      </c>
      <c r="M5" s="13" t="s">
        <v>15</v>
      </c>
      <c r="N5" s="14"/>
      <c r="O5" s="14"/>
      <c r="P5" s="14"/>
      <c r="Q5" s="14"/>
      <c r="R5" s="15"/>
      <c r="S5" s="13" t="s">
        <v>16</v>
      </c>
      <c r="T5" s="14"/>
      <c r="U5" s="14"/>
      <c r="V5" s="14"/>
      <c r="W5" s="15"/>
      <c r="X5" s="9" t="s">
        <v>17</v>
      </c>
      <c r="Y5" s="16" t="s">
        <v>18</v>
      </c>
      <c r="Z5" s="17" t="s">
        <v>19</v>
      </c>
    </row>
    <row r="6" ht="31.5" customHeight="1">
      <c r="A6" s="18"/>
      <c r="B6" s="8"/>
      <c r="C6" s="9"/>
      <c r="D6" s="8"/>
      <c r="E6" s="9"/>
      <c r="F6" s="9"/>
      <c r="G6" s="9"/>
      <c r="H6" s="9"/>
      <c r="I6" s="9"/>
      <c r="J6" s="9"/>
      <c r="K6" s="9"/>
      <c r="L6" s="19"/>
      <c r="M6" s="8" t="s">
        <v>20</v>
      </c>
      <c r="N6" s="20" t="s">
        <v>21</v>
      </c>
      <c r="O6" s="20" t="s">
        <v>22</v>
      </c>
      <c r="P6" s="21" t="s">
        <v>23</v>
      </c>
      <c r="Q6" s="22" t="s">
        <v>24</v>
      </c>
      <c r="R6" s="9" t="s">
        <v>25</v>
      </c>
      <c r="S6" s="23" t="s">
        <v>26</v>
      </c>
      <c r="T6" s="9" t="s">
        <v>27</v>
      </c>
      <c r="U6" s="9" t="s">
        <v>28</v>
      </c>
      <c r="V6" s="8" t="s">
        <v>29</v>
      </c>
      <c r="W6" s="9" t="s">
        <v>30</v>
      </c>
      <c r="X6" s="9" t="s">
        <v>31</v>
      </c>
      <c r="Y6" s="24"/>
      <c r="Z6" s="24"/>
      <c r="AA6" s="25"/>
      <c r="AB6" s="25"/>
      <c r="AC6" s="25"/>
      <c r="AD6" s="25"/>
      <c r="AE6" s="25"/>
    </row>
    <row r="7" ht="20.25" customHeight="1">
      <c r="A7" s="26">
        <v>1.0</v>
      </c>
      <c r="B7" s="27" t="s">
        <v>32</v>
      </c>
      <c r="C7" s="28" t="s">
        <v>33</v>
      </c>
      <c r="D7" s="29" t="s">
        <v>34</v>
      </c>
      <c r="E7" s="30" t="s">
        <v>35</v>
      </c>
      <c r="F7" s="28" t="s">
        <v>36</v>
      </c>
      <c r="G7" s="31">
        <v>31.0</v>
      </c>
      <c r="H7" s="32">
        <v>0.0</v>
      </c>
      <c r="I7" s="33">
        <f t="shared" ref="I7:I56" si="1">G7-H7</f>
        <v>31</v>
      </c>
      <c r="J7" s="34">
        <f t="shared" ref="J7:J77" si="2">+M7/G7</f>
        <v>96.77419355</v>
      </c>
      <c r="K7" s="35">
        <v>0.0</v>
      </c>
      <c r="L7" s="36">
        <v>3000.0</v>
      </c>
      <c r="M7" s="37">
        <v>3000.0</v>
      </c>
      <c r="N7" s="38">
        <v>0.0</v>
      </c>
      <c r="O7" s="39">
        <v>0.0</v>
      </c>
      <c r="P7" s="40">
        <v>0.0</v>
      </c>
      <c r="Q7" s="40">
        <f t="shared" ref="Q7:Q77" si="3">J7/12*K7*1.5</f>
        <v>0</v>
      </c>
      <c r="R7" s="41">
        <f t="shared" ref="R7:R77" si="4">SUM(M7:Q7)</f>
        <v>3000</v>
      </c>
      <c r="S7" s="42">
        <v>0.0</v>
      </c>
      <c r="T7" s="41">
        <f t="shared" ref="T7:T29" si="5">+H7*J7</f>
        <v>0</v>
      </c>
      <c r="U7" s="43">
        <v>0.0</v>
      </c>
      <c r="V7" s="44">
        <v>0.0</v>
      </c>
      <c r="W7" s="41">
        <f t="shared" ref="W7:W77" si="6">SUM(S7:V7)</f>
        <v>0</v>
      </c>
      <c r="X7" s="45">
        <f t="shared" ref="X7:X77" si="7">+R7-W7-Z7</f>
        <v>0</v>
      </c>
      <c r="Y7" s="46">
        <f t="shared" ref="Y7:Y19" si="8">L7-S7</f>
        <v>3000</v>
      </c>
      <c r="Z7" s="47">
        <v>3000.0</v>
      </c>
      <c r="AA7" s="48" t="s">
        <v>37</v>
      </c>
      <c r="AB7" s="48" t="s">
        <v>38</v>
      </c>
      <c r="AC7" s="49"/>
      <c r="AD7" s="49"/>
      <c r="AE7" s="49"/>
    </row>
    <row r="8" ht="20.25" customHeight="1">
      <c r="A8" s="26">
        <v>2.0</v>
      </c>
      <c r="B8" s="50" t="s">
        <v>39</v>
      </c>
      <c r="C8" s="50" t="s">
        <v>40</v>
      </c>
      <c r="D8" s="51" t="s">
        <v>41</v>
      </c>
      <c r="E8" s="30" t="s">
        <v>42</v>
      </c>
      <c r="F8" s="28" t="s">
        <v>36</v>
      </c>
      <c r="G8" s="31">
        <v>31.0</v>
      </c>
      <c r="H8" s="32">
        <v>0.0</v>
      </c>
      <c r="I8" s="33">
        <f t="shared" si="1"/>
        <v>31</v>
      </c>
      <c r="J8" s="34">
        <f t="shared" si="2"/>
        <v>87.09677419</v>
      </c>
      <c r="K8" s="35">
        <v>0.0</v>
      </c>
      <c r="L8" s="52">
        <v>1500.0</v>
      </c>
      <c r="M8" s="53">
        <v>2700.0</v>
      </c>
      <c r="N8" s="38">
        <v>0.0</v>
      </c>
      <c r="O8" s="39">
        <v>0.0</v>
      </c>
      <c r="P8" s="40">
        <v>0.0</v>
      </c>
      <c r="Q8" s="40">
        <f t="shared" si="3"/>
        <v>0</v>
      </c>
      <c r="R8" s="41">
        <f t="shared" si="4"/>
        <v>2700</v>
      </c>
      <c r="S8" s="42">
        <v>0.0</v>
      </c>
      <c r="T8" s="41">
        <f t="shared" si="5"/>
        <v>0</v>
      </c>
      <c r="U8" s="43">
        <v>0.0</v>
      </c>
      <c r="V8" s="44">
        <v>0.0</v>
      </c>
      <c r="W8" s="41">
        <f t="shared" si="6"/>
        <v>0</v>
      </c>
      <c r="X8" s="45">
        <f t="shared" si="7"/>
        <v>2700</v>
      </c>
      <c r="Y8" s="46">
        <f t="shared" si="8"/>
        <v>1500</v>
      </c>
      <c r="Z8" s="54">
        <v>0.0</v>
      </c>
    </row>
    <row r="9" ht="20.25" customHeight="1">
      <c r="A9" s="26">
        <v>3.0</v>
      </c>
      <c r="B9" s="55" t="s">
        <v>43</v>
      </c>
      <c r="C9" s="56" t="s">
        <v>44</v>
      </c>
      <c r="D9" s="57" t="s">
        <v>45</v>
      </c>
      <c r="E9" s="30" t="s">
        <v>35</v>
      </c>
      <c r="F9" s="28" t="s">
        <v>36</v>
      </c>
      <c r="G9" s="31">
        <v>31.0</v>
      </c>
      <c r="H9" s="32">
        <v>0.0</v>
      </c>
      <c r="I9" s="33">
        <f t="shared" si="1"/>
        <v>31</v>
      </c>
      <c r="J9" s="34">
        <f t="shared" si="2"/>
        <v>80.64516129</v>
      </c>
      <c r="K9" s="35">
        <v>0.0</v>
      </c>
      <c r="L9" s="58">
        <v>1500.0</v>
      </c>
      <c r="M9" s="59">
        <v>2500.0</v>
      </c>
      <c r="N9" s="38">
        <v>0.0</v>
      </c>
      <c r="O9" s="39">
        <v>0.0</v>
      </c>
      <c r="P9" s="40">
        <v>0.0</v>
      </c>
      <c r="Q9" s="40">
        <f t="shared" si="3"/>
        <v>0</v>
      </c>
      <c r="R9" s="41">
        <f t="shared" si="4"/>
        <v>2500</v>
      </c>
      <c r="S9" s="42">
        <v>400.0</v>
      </c>
      <c r="T9" s="41">
        <f t="shared" si="5"/>
        <v>0</v>
      </c>
      <c r="U9" s="43">
        <v>0.0</v>
      </c>
      <c r="V9" s="41">
        <v>0.0</v>
      </c>
      <c r="W9" s="41">
        <f t="shared" si="6"/>
        <v>400</v>
      </c>
      <c r="X9" s="45">
        <f t="shared" si="7"/>
        <v>2100</v>
      </c>
      <c r="Y9" s="46">
        <f t="shared" si="8"/>
        <v>1100</v>
      </c>
      <c r="Z9" s="54">
        <v>0.0</v>
      </c>
      <c r="AA9" s="60" t="s">
        <v>46</v>
      </c>
    </row>
    <row r="10" ht="20.25" customHeight="1">
      <c r="A10" s="26">
        <v>4.0</v>
      </c>
      <c r="B10" s="61" t="s">
        <v>47</v>
      </c>
      <c r="C10" s="61" t="s">
        <v>48</v>
      </c>
      <c r="D10" s="51" t="s">
        <v>49</v>
      </c>
      <c r="E10" s="30" t="s">
        <v>42</v>
      </c>
      <c r="F10" s="28" t="s">
        <v>36</v>
      </c>
      <c r="G10" s="31">
        <v>31.0</v>
      </c>
      <c r="H10" s="32">
        <v>0.0</v>
      </c>
      <c r="I10" s="33">
        <f t="shared" si="1"/>
        <v>31</v>
      </c>
      <c r="J10" s="34">
        <f t="shared" si="2"/>
        <v>58.06451613</v>
      </c>
      <c r="K10" s="35">
        <v>0.0</v>
      </c>
      <c r="L10" s="58">
        <v>1800.0</v>
      </c>
      <c r="M10" s="53">
        <v>1800.0</v>
      </c>
      <c r="N10" s="38">
        <v>0.0</v>
      </c>
      <c r="O10" s="39">
        <v>0.0</v>
      </c>
      <c r="P10" s="40">
        <v>0.0</v>
      </c>
      <c r="Q10" s="40">
        <f t="shared" si="3"/>
        <v>0</v>
      </c>
      <c r="R10" s="41">
        <f t="shared" si="4"/>
        <v>1800</v>
      </c>
      <c r="S10" s="42">
        <v>1800.0</v>
      </c>
      <c r="T10" s="41">
        <f t="shared" si="5"/>
        <v>0</v>
      </c>
      <c r="U10" s="43">
        <v>0.0</v>
      </c>
      <c r="V10" s="53">
        <v>0.0</v>
      </c>
      <c r="W10" s="41">
        <f t="shared" si="6"/>
        <v>1800</v>
      </c>
      <c r="X10" s="45">
        <f t="shared" si="7"/>
        <v>0</v>
      </c>
      <c r="Y10" s="46">
        <f t="shared" si="8"/>
        <v>0</v>
      </c>
      <c r="Z10" s="54">
        <v>0.0</v>
      </c>
    </row>
    <row r="11" ht="20.25" customHeight="1">
      <c r="A11" s="26">
        <v>5.0</v>
      </c>
      <c r="B11" s="61" t="s">
        <v>50</v>
      </c>
      <c r="C11" s="61" t="s">
        <v>51</v>
      </c>
      <c r="D11" s="51" t="s">
        <v>52</v>
      </c>
      <c r="E11" s="30" t="s">
        <v>42</v>
      </c>
      <c r="F11" s="28" t="s">
        <v>36</v>
      </c>
      <c r="G11" s="31">
        <v>31.0</v>
      </c>
      <c r="H11" s="32">
        <v>0.0</v>
      </c>
      <c r="I11" s="33">
        <f t="shared" si="1"/>
        <v>31</v>
      </c>
      <c r="J11" s="34">
        <f t="shared" si="2"/>
        <v>70.96774194</v>
      </c>
      <c r="K11" s="35">
        <v>0.0</v>
      </c>
      <c r="L11" s="58">
        <v>6700.0</v>
      </c>
      <c r="M11" s="53">
        <v>2200.0</v>
      </c>
      <c r="N11" s="38">
        <v>0.0</v>
      </c>
      <c r="O11" s="39">
        <v>0.0</v>
      </c>
      <c r="P11" s="40">
        <v>0.0</v>
      </c>
      <c r="Q11" s="40">
        <f t="shared" si="3"/>
        <v>0</v>
      </c>
      <c r="R11" s="41">
        <f t="shared" si="4"/>
        <v>2200</v>
      </c>
      <c r="S11" s="42">
        <v>700.0</v>
      </c>
      <c r="T11" s="41">
        <f t="shared" si="5"/>
        <v>0</v>
      </c>
      <c r="U11" s="43">
        <v>0.0</v>
      </c>
      <c r="V11" s="53">
        <v>0.0</v>
      </c>
      <c r="W11" s="41">
        <f t="shared" si="6"/>
        <v>700</v>
      </c>
      <c r="X11" s="45">
        <f t="shared" si="7"/>
        <v>1500</v>
      </c>
      <c r="Y11" s="46">
        <f t="shared" si="8"/>
        <v>6000</v>
      </c>
      <c r="Z11" s="54">
        <v>0.0</v>
      </c>
    </row>
    <row r="12" ht="20.25" customHeight="1">
      <c r="A12" s="26">
        <v>6.0</v>
      </c>
      <c r="B12" s="61" t="s">
        <v>53</v>
      </c>
      <c r="C12" s="62" t="s">
        <v>54</v>
      </c>
      <c r="D12" s="51" t="s">
        <v>55</v>
      </c>
      <c r="E12" s="30" t="s">
        <v>42</v>
      </c>
      <c r="F12" s="28" t="s">
        <v>36</v>
      </c>
      <c r="G12" s="31">
        <v>31.0</v>
      </c>
      <c r="H12" s="32">
        <v>0.0</v>
      </c>
      <c r="I12" s="33">
        <f t="shared" si="1"/>
        <v>31</v>
      </c>
      <c r="J12" s="34">
        <f t="shared" si="2"/>
        <v>64.51612903</v>
      </c>
      <c r="K12" s="35">
        <v>0.0</v>
      </c>
      <c r="L12" s="58">
        <v>0.0</v>
      </c>
      <c r="M12" s="53">
        <v>2000.0</v>
      </c>
      <c r="N12" s="38">
        <v>0.0</v>
      </c>
      <c r="O12" s="39">
        <v>0.0</v>
      </c>
      <c r="P12" s="40">
        <v>0.0</v>
      </c>
      <c r="Q12" s="40">
        <f t="shared" si="3"/>
        <v>0</v>
      </c>
      <c r="R12" s="41">
        <f t="shared" si="4"/>
        <v>2000</v>
      </c>
      <c r="S12" s="42">
        <v>0.0</v>
      </c>
      <c r="T12" s="41">
        <f t="shared" si="5"/>
        <v>0</v>
      </c>
      <c r="U12" s="43">
        <v>0.0</v>
      </c>
      <c r="V12" s="53">
        <v>0.0</v>
      </c>
      <c r="W12" s="41">
        <f t="shared" si="6"/>
        <v>0</v>
      </c>
      <c r="X12" s="45">
        <f t="shared" si="7"/>
        <v>2000</v>
      </c>
      <c r="Y12" s="46">
        <f t="shared" si="8"/>
        <v>0</v>
      </c>
      <c r="Z12" s="54">
        <v>0.0</v>
      </c>
    </row>
    <row r="13" ht="20.25" customHeight="1">
      <c r="A13" s="26">
        <v>7.0</v>
      </c>
      <c r="B13" s="50" t="s">
        <v>56</v>
      </c>
      <c r="C13" s="63" t="s">
        <v>57</v>
      </c>
      <c r="D13" s="64" t="s">
        <v>58</v>
      </c>
      <c r="E13" s="30" t="s">
        <v>42</v>
      </c>
      <c r="F13" s="28" t="s">
        <v>36</v>
      </c>
      <c r="G13" s="31">
        <v>31.0</v>
      </c>
      <c r="H13" s="32">
        <v>0.0</v>
      </c>
      <c r="I13" s="33">
        <f t="shared" si="1"/>
        <v>31</v>
      </c>
      <c r="J13" s="34">
        <f t="shared" si="2"/>
        <v>48.38709677</v>
      </c>
      <c r="K13" s="35">
        <v>0.0</v>
      </c>
      <c r="L13" s="65">
        <v>0.0</v>
      </c>
      <c r="M13" s="53">
        <v>1500.0</v>
      </c>
      <c r="N13" s="38">
        <v>0.0</v>
      </c>
      <c r="O13" s="39">
        <v>0.0</v>
      </c>
      <c r="P13" s="40">
        <v>0.0</v>
      </c>
      <c r="Q13" s="40">
        <f t="shared" si="3"/>
        <v>0</v>
      </c>
      <c r="R13" s="41">
        <f t="shared" si="4"/>
        <v>1500</v>
      </c>
      <c r="S13" s="42">
        <v>0.0</v>
      </c>
      <c r="T13" s="41">
        <f t="shared" si="5"/>
        <v>0</v>
      </c>
      <c r="U13" s="43">
        <v>0.0</v>
      </c>
      <c r="V13" s="41">
        <v>0.0</v>
      </c>
      <c r="W13" s="41">
        <f t="shared" si="6"/>
        <v>0</v>
      </c>
      <c r="X13" s="45">
        <f t="shared" si="7"/>
        <v>1500</v>
      </c>
      <c r="Y13" s="46">
        <f t="shared" si="8"/>
        <v>0</v>
      </c>
      <c r="Z13" s="54">
        <v>0.0</v>
      </c>
    </row>
    <row r="14" ht="20.25" customHeight="1">
      <c r="A14" s="26">
        <v>8.0</v>
      </c>
      <c r="B14" s="66" t="s">
        <v>59</v>
      </c>
      <c r="C14" s="66" t="s">
        <v>60</v>
      </c>
      <c r="D14" s="67" t="s">
        <v>61</v>
      </c>
      <c r="E14" s="68" t="s">
        <v>62</v>
      </c>
      <c r="F14" s="66" t="s">
        <v>63</v>
      </c>
      <c r="G14" s="31">
        <v>31.0</v>
      </c>
      <c r="H14" s="32">
        <v>0.0</v>
      </c>
      <c r="I14" s="33">
        <f t="shared" si="1"/>
        <v>31</v>
      </c>
      <c r="J14" s="34">
        <f t="shared" si="2"/>
        <v>96.77419355</v>
      </c>
      <c r="K14" s="69">
        <v>0.0</v>
      </c>
      <c r="L14" s="58">
        <v>0.0</v>
      </c>
      <c r="M14" s="70">
        <v>3000.0</v>
      </c>
      <c r="N14" s="38">
        <v>0.0</v>
      </c>
      <c r="O14" s="39">
        <v>0.0</v>
      </c>
      <c r="P14" s="40">
        <v>0.0</v>
      </c>
      <c r="Q14" s="40">
        <f t="shared" si="3"/>
        <v>0</v>
      </c>
      <c r="R14" s="41">
        <f t="shared" si="4"/>
        <v>3000</v>
      </c>
      <c r="S14" s="42">
        <v>0.0</v>
      </c>
      <c r="T14" s="41">
        <f t="shared" si="5"/>
        <v>0</v>
      </c>
      <c r="U14" s="43">
        <v>0.0</v>
      </c>
      <c r="V14" s="41">
        <v>0.0</v>
      </c>
      <c r="W14" s="41">
        <f t="shared" si="6"/>
        <v>0</v>
      </c>
      <c r="X14" s="45">
        <f t="shared" si="7"/>
        <v>3000</v>
      </c>
      <c r="Y14" s="46">
        <f t="shared" si="8"/>
        <v>0</v>
      </c>
      <c r="Z14" s="54">
        <v>0.0</v>
      </c>
    </row>
    <row r="15" ht="20.25" customHeight="1">
      <c r="A15" s="26">
        <v>9.0</v>
      </c>
      <c r="B15" s="66" t="s">
        <v>64</v>
      </c>
      <c r="C15" s="66" t="s">
        <v>65</v>
      </c>
      <c r="D15" s="67" t="s">
        <v>66</v>
      </c>
      <c r="E15" s="68" t="s">
        <v>35</v>
      </c>
      <c r="F15" s="66" t="s">
        <v>63</v>
      </c>
      <c r="G15" s="31">
        <v>31.0</v>
      </c>
      <c r="H15" s="32">
        <v>0.0</v>
      </c>
      <c r="I15" s="33">
        <f t="shared" si="1"/>
        <v>31</v>
      </c>
      <c r="J15" s="34">
        <f t="shared" si="2"/>
        <v>67.74193548</v>
      </c>
      <c r="K15" s="69">
        <v>0.0</v>
      </c>
      <c r="L15" s="58">
        <v>29769.0</v>
      </c>
      <c r="M15" s="71">
        <v>2100.0</v>
      </c>
      <c r="N15" s="38">
        <v>0.0</v>
      </c>
      <c r="O15" s="39">
        <v>0.0</v>
      </c>
      <c r="P15" s="40">
        <v>0.0</v>
      </c>
      <c r="Q15" s="40">
        <f t="shared" si="3"/>
        <v>0</v>
      </c>
      <c r="R15" s="41">
        <f t="shared" si="4"/>
        <v>2100</v>
      </c>
      <c r="S15" s="42">
        <v>1000.0</v>
      </c>
      <c r="T15" s="41">
        <f t="shared" si="5"/>
        <v>0</v>
      </c>
      <c r="U15" s="43">
        <v>0.0</v>
      </c>
      <c r="V15" s="41">
        <v>0.0</v>
      </c>
      <c r="W15" s="41">
        <f t="shared" si="6"/>
        <v>1000</v>
      </c>
      <c r="X15" s="45">
        <f t="shared" si="7"/>
        <v>700</v>
      </c>
      <c r="Y15" s="46">
        <f t="shared" si="8"/>
        <v>28769</v>
      </c>
      <c r="Z15" s="54">
        <v>400.0</v>
      </c>
    </row>
    <row r="16" ht="20.25" customHeight="1">
      <c r="A16" s="26">
        <v>10.0</v>
      </c>
      <c r="B16" s="66" t="s">
        <v>67</v>
      </c>
      <c r="C16" s="66" t="s">
        <v>68</v>
      </c>
      <c r="D16" s="72" t="s">
        <v>66</v>
      </c>
      <c r="E16" s="68" t="s">
        <v>42</v>
      </c>
      <c r="F16" s="66" t="s">
        <v>63</v>
      </c>
      <c r="G16" s="31">
        <v>31.0</v>
      </c>
      <c r="H16" s="32">
        <v>0.0</v>
      </c>
      <c r="I16" s="33">
        <f t="shared" si="1"/>
        <v>31</v>
      </c>
      <c r="J16" s="34">
        <f t="shared" si="2"/>
        <v>48.38709677</v>
      </c>
      <c r="K16" s="69">
        <v>0.0</v>
      </c>
      <c r="L16" s="58">
        <v>0.0</v>
      </c>
      <c r="M16" s="53">
        <v>1500.0</v>
      </c>
      <c r="N16" s="38">
        <v>0.0</v>
      </c>
      <c r="O16" s="39">
        <v>0.0</v>
      </c>
      <c r="P16" s="40">
        <v>0.0</v>
      </c>
      <c r="Q16" s="40">
        <f t="shared" si="3"/>
        <v>0</v>
      </c>
      <c r="R16" s="41">
        <f t="shared" si="4"/>
        <v>1500</v>
      </c>
      <c r="S16" s="42">
        <v>0.0</v>
      </c>
      <c r="T16" s="41">
        <f t="shared" si="5"/>
        <v>0</v>
      </c>
      <c r="U16" s="43">
        <v>0.0</v>
      </c>
      <c r="V16" s="41">
        <v>0.0</v>
      </c>
      <c r="W16" s="41">
        <f t="shared" si="6"/>
        <v>0</v>
      </c>
      <c r="X16" s="45">
        <f t="shared" si="7"/>
        <v>1500</v>
      </c>
      <c r="Y16" s="46">
        <f t="shared" si="8"/>
        <v>0</v>
      </c>
      <c r="Z16" s="54">
        <v>0.0</v>
      </c>
      <c r="AB16" s="60" t="s">
        <v>69</v>
      </c>
      <c r="AD16" s="73">
        <v>304200.0</v>
      </c>
    </row>
    <row r="17" ht="24.0" customHeight="1">
      <c r="A17" s="26">
        <v>11.0</v>
      </c>
      <c r="B17" s="74" t="s">
        <v>70</v>
      </c>
      <c r="C17" s="75" t="s">
        <v>71</v>
      </c>
      <c r="D17" s="72" t="s">
        <v>61</v>
      </c>
      <c r="E17" s="68" t="s">
        <v>62</v>
      </c>
      <c r="F17" s="66" t="s">
        <v>63</v>
      </c>
      <c r="G17" s="31">
        <v>31.0</v>
      </c>
      <c r="H17" s="32">
        <v>0.0</v>
      </c>
      <c r="I17" s="33">
        <f t="shared" si="1"/>
        <v>31</v>
      </c>
      <c r="J17" s="34">
        <f t="shared" si="2"/>
        <v>64.51612903</v>
      </c>
      <c r="K17" s="69">
        <v>0.0</v>
      </c>
      <c r="L17" s="58">
        <v>1925.0</v>
      </c>
      <c r="M17" s="53">
        <v>2000.0</v>
      </c>
      <c r="N17" s="38">
        <v>0.0</v>
      </c>
      <c r="O17" s="39">
        <v>0.0</v>
      </c>
      <c r="P17" s="40">
        <v>0.0</v>
      </c>
      <c r="Q17" s="40">
        <f t="shared" si="3"/>
        <v>0</v>
      </c>
      <c r="R17" s="41">
        <f t="shared" si="4"/>
        <v>2000</v>
      </c>
      <c r="S17" s="42">
        <v>225.0</v>
      </c>
      <c r="T17" s="41">
        <f t="shared" si="5"/>
        <v>0</v>
      </c>
      <c r="U17" s="43">
        <v>0.0</v>
      </c>
      <c r="V17" s="41">
        <v>0.0</v>
      </c>
      <c r="W17" s="41">
        <f t="shared" si="6"/>
        <v>225</v>
      </c>
      <c r="X17" s="45">
        <f t="shared" si="7"/>
        <v>1775</v>
      </c>
      <c r="Y17" s="46">
        <f t="shared" si="8"/>
        <v>1700</v>
      </c>
      <c r="Z17" s="54">
        <v>0.0</v>
      </c>
    </row>
    <row r="18" ht="24.0" customHeight="1">
      <c r="A18" s="26">
        <v>12.0</v>
      </c>
      <c r="B18" s="74" t="s">
        <v>72</v>
      </c>
      <c r="C18" s="75" t="s">
        <v>73</v>
      </c>
      <c r="D18" s="72" t="s">
        <v>74</v>
      </c>
      <c r="E18" s="68" t="s">
        <v>62</v>
      </c>
      <c r="F18" s="66" t="s">
        <v>63</v>
      </c>
      <c r="G18" s="31">
        <v>31.0</v>
      </c>
      <c r="H18" s="32">
        <v>0.0</v>
      </c>
      <c r="I18" s="33">
        <f t="shared" si="1"/>
        <v>31</v>
      </c>
      <c r="J18" s="34">
        <f t="shared" si="2"/>
        <v>38.70967742</v>
      </c>
      <c r="K18" s="69">
        <v>0.0</v>
      </c>
      <c r="L18" s="58">
        <v>0.0</v>
      </c>
      <c r="M18" s="53">
        <v>1200.0</v>
      </c>
      <c r="N18" s="38">
        <v>0.0</v>
      </c>
      <c r="O18" s="39">
        <v>100.0</v>
      </c>
      <c r="P18" s="40">
        <v>0.0</v>
      </c>
      <c r="Q18" s="40">
        <f t="shared" si="3"/>
        <v>0</v>
      </c>
      <c r="R18" s="41">
        <f t="shared" si="4"/>
        <v>1300</v>
      </c>
      <c r="S18" s="42">
        <v>0.0</v>
      </c>
      <c r="T18" s="41">
        <f t="shared" si="5"/>
        <v>0</v>
      </c>
      <c r="U18" s="43">
        <v>0.0</v>
      </c>
      <c r="V18" s="41">
        <v>0.0</v>
      </c>
      <c r="W18" s="41">
        <f t="shared" si="6"/>
        <v>0</v>
      </c>
      <c r="X18" s="45">
        <f t="shared" si="7"/>
        <v>1300</v>
      </c>
      <c r="Y18" s="46">
        <f t="shared" si="8"/>
        <v>0</v>
      </c>
      <c r="Z18" s="54">
        <v>0.0</v>
      </c>
    </row>
    <row r="19" ht="24.0" customHeight="1">
      <c r="A19" s="26">
        <v>13.0</v>
      </c>
      <c r="B19" s="74" t="s">
        <v>75</v>
      </c>
      <c r="C19" s="75" t="s">
        <v>76</v>
      </c>
      <c r="D19" s="72" t="s">
        <v>77</v>
      </c>
      <c r="E19" s="68" t="s">
        <v>62</v>
      </c>
      <c r="F19" s="66" t="s">
        <v>63</v>
      </c>
      <c r="G19" s="31">
        <v>31.0</v>
      </c>
      <c r="H19" s="32">
        <v>0.0</v>
      </c>
      <c r="I19" s="33">
        <f t="shared" si="1"/>
        <v>31</v>
      </c>
      <c r="J19" s="34">
        <f t="shared" si="2"/>
        <v>129.0322581</v>
      </c>
      <c r="K19" s="69">
        <v>0.0</v>
      </c>
      <c r="L19" s="58">
        <v>3500.0</v>
      </c>
      <c r="M19" s="53">
        <v>4000.0</v>
      </c>
      <c r="N19" s="38">
        <v>0.0</v>
      </c>
      <c r="O19" s="39">
        <v>0.0</v>
      </c>
      <c r="P19" s="40">
        <v>0.0</v>
      </c>
      <c r="Q19" s="40">
        <f t="shared" si="3"/>
        <v>0</v>
      </c>
      <c r="R19" s="41">
        <f t="shared" si="4"/>
        <v>4000</v>
      </c>
      <c r="S19" s="42">
        <v>0.0</v>
      </c>
      <c r="T19" s="41">
        <f t="shared" si="5"/>
        <v>0</v>
      </c>
      <c r="U19" s="43">
        <v>0.0</v>
      </c>
      <c r="V19" s="41">
        <v>0.0</v>
      </c>
      <c r="W19" s="41">
        <f t="shared" si="6"/>
        <v>0</v>
      </c>
      <c r="X19" s="45">
        <f t="shared" si="7"/>
        <v>0</v>
      </c>
      <c r="Y19" s="46">
        <f t="shared" si="8"/>
        <v>3500</v>
      </c>
      <c r="Z19" s="54">
        <v>4000.0</v>
      </c>
    </row>
    <row r="20" ht="18.0" customHeight="1">
      <c r="A20" s="26">
        <v>14.0</v>
      </c>
      <c r="B20" s="74" t="s">
        <v>78</v>
      </c>
      <c r="C20" s="75" t="s">
        <v>79</v>
      </c>
      <c r="D20" s="72" t="s">
        <v>80</v>
      </c>
      <c r="E20" s="68" t="s">
        <v>62</v>
      </c>
      <c r="F20" s="66" t="s">
        <v>81</v>
      </c>
      <c r="G20" s="31">
        <v>31.0</v>
      </c>
      <c r="H20" s="32">
        <v>0.0</v>
      </c>
      <c r="I20" s="33">
        <f t="shared" si="1"/>
        <v>31</v>
      </c>
      <c r="J20" s="34">
        <f t="shared" si="2"/>
        <v>48.38709677</v>
      </c>
      <c r="K20" s="69">
        <v>0.0</v>
      </c>
      <c r="L20" s="58">
        <v>0.0</v>
      </c>
      <c r="M20" s="70">
        <v>1500.0</v>
      </c>
      <c r="N20" s="38">
        <v>0.0</v>
      </c>
      <c r="O20" s="39">
        <v>0.0</v>
      </c>
      <c r="P20" s="40">
        <v>0.0</v>
      </c>
      <c r="Q20" s="40">
        <f t="shared" si="3"/>
        <v>0</v>
      </c>
      <c r="R20" s="41">
        <f t="shared" si="4"/>
        <v>1500</v>
      </c>
      <c r="S20" s="42">
        <v>0.0</v>
      </c>
      <c r="T20" s="41">
        <f t="shared" si="5"/>
        <v>0</v>
      </c>
      <c r="U20" s="43">
        <v>0.0</v>
      </c>
      <c r="V20" s="53">
        <v>0.0</v>
      </c>
      <c r="W20" s="41">
        <f t="shared" si="6"/>
        <v>0</v>
      </c>
      <c r="X20" s="45">
        <f t="shared" si="7"/>
        <v>1500</v>
      </c>
      <c r="Y20" s="46"/>
      <c r="Z20" s="54">
        <v>0.0</v>
      </c>
    </row>
    <row r="21" ht="24.0" customHeight="1">
      <c r="A21" s="26">
        <v>15.0</v>
      </c>
      <c r="B21" s="76" t="s">
        <v>82</v>
      </c>
      <c r="C21" s="77" t="s">
        <v>83</v>
      </c>
      <c r="D21" s="78" t="s">
        <v>84</v>
      </c>
      <c r="E21" s="68" t="s">
        <v>62</v>
      </c>
      <c r="F21" s="79" t="s">
        <v>85</v>
      </c>
      <c r="G21" s="31">
        <v>31.0</v>
      </c>
      <c r="H21" s="32">
        <v>0.0</v>
      </c>
      <c r="I21" s="33">
        <f t="shared" si="1"/>
        <v>31</v>
      </c>
      <c r="J21" s="34">
        <f t="shared" si="2"/>
        <v>145.1612903</v>
      </c>
      <c r="K21" s="69">
        <v>0.0</v>
      </c>
      <c r="L21" s="58">
        <v>0.0</v>
      </c>
      <c r="M21" s="53">
        <v>4500.0</v>
      </c>
      <c r="N21" s="38">
        <v>0.0</v>
      </c>
      <c r="O21" s="39">
        <v>0.0</v>
      </c>
      <c r="P21" s="40">
        <v>0.0</v>
      </c>
      <c r="Q21" s="40">
        <f t="shared" si="3"/>
        <v>0</v>
      </c>
      <c r="R21" s="41">
        <f t="shared" si="4"/>
        <v>4500</v>
      </c>
      <c r="S21" s="42">
        <v>0.0</v>
      </c>
      <c r="T21" s="41">
        <f t="shared" si="5"/>
        <v>0</v>
      </c>
      <c r="U21" s="43">
        <v>0.0</v>
      </c>
      <c r="V21" s="41">
        <v>0.0</v>
      </c>
      <c r="W21" s="41">
        <f t="shared" si="6"/>
        <v>0</v>
      </c>
      <c r="X21" s="45">
        <f t="shared" si="7"/>
        <v>4500</v>
      </c>
      <c r="Y21" s="46">
        <f t="shared" ref="Y21:Y45" si="9">L21-S21</f>
        <v>0</v>
      </c>
      <c r="Z21" s="54">
        <v>0.0</v>
      </c>
    </row>
    <row r="22" ht="20.25" customHeight="1">
      <c r="A22" s="26">
        <v>16.0</v>
      </c>
      <c r="B22" s="76" t="s">
        <v>86</v>
      </c>
      <c r="C22" s="80" t="s">
        <v>87</v>
      </c>
      <c r="D22" s="78" t="s">
        <v>88</v>
      </c>
      <c r="E22" s="68" t="s">
        <v>42</v>
      </c>
      <c r="F22" s="79" t="s">
        <v>85</v>
      </c>
      <c r="G22" s="31">
        <v>31.0</v>
      </c>
      <c r="H22" s="32">
        <v>13.0</v>
      </c>
      <c r="I22" s="33">
        <f t="shared" si="1"/>
        <v>18</v>
      </c>
      <c r="J22" s="34">
        <f t="shared" si="2"/>
        <v>70.96774194</v>
      </c>
      <c r="K22" s="69">
        <v>0.0</v>
      </c>
      <c r="L22" s="58">
        <v>1320.0</v>
      </c>
      <c r="M22" s="71">
        <v>2200.0</v>
      </c>
      <c r="N22" s="38">
        <v>0.0</v>
      </c>
      <c r="O22" s="39">
        <v>0.0</v>
      </c>
      <c r="P22" s="40">
        <v>0.0</v>
      </c>
      <c r="Q22" s="40">
        <f t="shared" si="3"/>
        <v>0</v>
      </c>
      <c r="R22" s="41">
        <f t="shared" si="4"/>
        <v>2200</v>
      </c>
      <c r="S22" s="42">
        <v>1277.0</v>
      </c>
      <c r="T22" s="41">
        <f t="shared" si="5"/>
        <v>922.5806452</v>
      </c>
      <c r="U22" s="43">
        <v>0.0</v>
      </c>
      <c r="V22" s="41">
        <v>0.0</v>
      </c>
      <c r="W22" s="41">
        <f t="shared" si="6"/>
        <v>2199.580645</v>
      </c>
      <c r="X22" s="45">
        <f t="shared" si="7"/>
        <v>0.4193548387</v>
      </c>
      <c r="Y22" s="46">
        <f t="shared" si="9"/>
        <v>43</v>
      </c>
      <c r="Z22" s="54">
        <v>0.0</v>
      </c>
    </row>
    <row r="23" ht="20.25" customHeight="1">
      <c r="A23" s="26">
        <v>17.0</v>
      </c>
      <c r="B23" s="81" t="s">
        <v>89</v>
      </c>
      <c r="C23" s="82" t="s">
        <v>90</v>
      </c>
      <c r="D23" s="78" t="s">
        <v>91</v>
      </c>
      <c r="E23" s="68" t="s">
        <v>35</v>
      </c>
      <c r="F23" s="79" t="s">
        <v>85</v>
      </c>
      <c r="G23" s="31">
        <v>31.0</v>
      </c>
      <c r="H23" s="32">
        <v>0.0</v>
      </c>
      <c r="I23" s="33">
        <f t="shared" si="1"/>
        <v>31</v>
      </c>
      <c r="J23" s="34">
        <f t="shared" si="2"/>
        <v>96.77419355</v>
      </c>
      <c r="K23" s="69">
        <v>0.0</v>
      </c>
      <c r="L23" s="58">
        <v>0.0</v>
      </c>
      <c r="M23" s="53">
        <v>3000.0</v>
      </c>
      <c r="N23" s="38">
        <v>0.0</v>
      </c>
      <c r="O23" s="39">
        <v>0.0</v>
      </c>
      <c r="P23" s="40">
        <v>0.0</v>
      </c>
      <c r="Q23" s="40">
        <f t="shared" si="3"/>
        <v>0</v>
      </c>
      <c r="R23" s="41">
        <f t="shared" si="4"/>
        <v>3000</v>
      </c>
      <c r="S23" s="42">
        <v>0.0</v>
      </c>
      <c r="T23" s="41">
        <f t="shared" si="5"/>
        <v>0</v>
      </c>
      <c r="U23" s="43">
        <v>0.0</v>
      </c>
      <c r="V23" s="41">
        <v>0.0</v>
      </c>
      <c r="W23" s="41">
        <f t="shared" si="6"/>
        <v>0</v>
      </c>
      <c r="X23" s="45">
        <f t="shared" si="7"/>
        <v>2600</v>
      </c>
      <c r="Y23" s="46">
        <f t="shared" si="9"/>
        <v>0</v>
      </c>
      <c r="Z23" s="54">
        <v>400.0</v>
      </c>
    </row>
    <row r="24" ht="20.25" customHeight="1">
      <c r="A24" s="26">
        <v>18.0</v>
      </c>
      <c r="B24" s="83" t="s">
        <v>92</v>
      </c>
      <c r="C24" s="83" t="s">
        <v>93</v>
      </c>
      <c r="D24" s="84" t="s">
        <v>80</v>
      </c>
      <c r="E24" s="68" t="s">
        <v>62</v>
      </c>
      <c r="F24" s="79" t="s">
        <v>85</v>
      </c>
      <c r="G24" s="31">
        <v>31.0</v>
      </c>
      <c r="H24" s="32">
        <v>0.0</v>
      </c>
      <c r="I24" s="33">
        <f t="shared" si="1"/>
        <v>31</v>
      </c>
      <c r="J24" s="34">
        <f t="shared" si="2"/>
        <v>64.51612903</v>
      </c>
      <c r="K24" s="69">
        <v>0.0</v>
      </c>
      <c r="L24" s="58">
        <v>500.0</v>
      </c>
      <c r="M24" s="53">
        <v>2000.0</v>
      </c>
      <c r="N24" s="38">
        <v>0.0</v>
      </c>
      <c r="O24" s="39">
        <v>0.0</v>
      </c>
      <c r="P24" s="40">
        <v>0.0</v>
      </c>
      <c r="Q24" s="40">
        <f t="shared" si="3"/>
        <v>0</v>
      </c>
      <c r="R24" s="41">
        <f t="shared" si="4"/>
        <v>2000</v>
      </c>
      <c r="S24" s="42">
        <v>500.0</v>
      </c>
      <c r="T24" s="41">
        <f t="shared" si="5"/>
        <v>0</v>
      </c>
      <c r="U24" s="43">
        <v>0.0</v>
      </c>
      <c r="V24" s="41">
        <v>0.0</v>
      </c>
      <c r="W24" s="41">
        <f t="shared" si="6"/>
        <v>500</v>
      </c>
      <c r="X24" s="45">
        <f t="shared" si="7"/>
        <v>1500</v>
      </c>
      <c r="Y24" s="46">
        <f t="shared" si="9"/>
        <v>0</v>
      </c>
      <c r="Z24" s="85">
        <v>0.0</v>
      </c>
      <c r="AA24" s="86"/>
    </row>
    <row r="25" ht="24.0" customHeight="1">
      <c r="A25" s="26">
        <v>19.0</v>
      </c>
      <c r="B25" s="81" t="s">
        <v>94</v>
      </c>
      <c r="C25" s="87" t="s">
        <v>95</v>
      </c>
      <c r="D25" s="84" t="s">
        <v>88</v>
      </c>
      <c r="E25" s="68" t="s">
        <v>62</v>
      </c>
      <c r="F25" s="77" t="s">
        <v>85</v>
      </c>
      <c r="G25" s="31">
        <v>31.0</v>
      </c>
      <c r="H25" s="32">
        <v>0.0</v>
      </c>
      <c r="I25" s="33">
        <f t="shared" si="1"/>
        <v>31</v>
      </c>
      <c r="J25" s="34">
        <f t="shared" si="2"/>
        <v>48.38709677</v>
      </c>
      <c r="K25" s="69">
        <v>0.0</v>
      </c>
      <c r="L25" s="65">
        <v>0.0</v>
      </c>
      <c r="M25" s="59">
        <v>1500.0</v>
      </c>
      <c r="N25" s="38">
        <v>0.0</v>
      </c>
      <c r="O25" s="39">
        <v>0.0</v>
      </c>
      <c r="P25" s="40">
        <v>0.0</v>
      </c>
      <c r="Q25" s="40">
        <f t="shared" si="3"/>
        <v>0</v>
      </c>
      <c r="R25" s="41">
        <f t="shared" si="4"/>
        <v>1500</v>
      </c>
      <c r="S25" s="42">
        <v>0.0</v>
      </c>
      <c r="T25" s="41">
        <f t="shared" si="5"/>
        <v>0</v>
      </c>
      <c r="U25" s="43">
        <v>0.0</v>
      </c>
      <c r="V25" s="41">
        <v>0.0</v>
      </c>
      <c r="W25" s="41">
        <f t="shared" si="6"/>
        <v>0</v>
      </c>
      <c r="X25" s="45">
        <f t="shared" si="7"/>
        <v>1500</v>
      </c>
      <c r="Y25" s="46">
        <f t="shared" si="9"/>
        <v>0</v>
      </c>
      <c r="Z25" s="54">
        <v>0.0</v>
      </c>
    </row>
    <row r="26" ht="20.25" customHeight="1">
      <c r="A26" s="26">
        <v>20.0</v>
      </c>
      <c r="B26" s="83" t="s">
        <v>96</v>
      </c>
      <c r="C26" s="77"/>
      <c r="D26" s="84" t="s">
        <v>88</v>
      </c>
      <c r="E26" s="68"/>
      <c r="F26" s="77" t="s">
        <v>85</v>
      </c>
      <c r="G26" s="31">
        <v>31.0</v>
      </c>
      <c r="H26" s="32">
        <v>0.0</v>
      </c>
      <c r="I26" s="33">
        <f t="shared" si="1"/>
        <v>31</v>
      </c>
      <c r="J26" s="34">
        <f t="shared" si="2"/>
        <v>80.64516129</v>
      </c>
      <c r="K26" s="69">
        <v>0.0</v>
      </c>
      <c r="L26" s="58">
        <v>2500.0</v>
      </c>
      <c r="M26" s="53">
        <v>2500.0</v>
      </c>
      <c r="N26" s="38">
        <v>0.0</v>
      </c>
      <c r="O26" s="39">
        <v>0.0</v>
      </c>
      <c r="P26" s="40">
        <v>0.0</v>
      </c>
      <c r="Q26" s="40">
        <f t="shared" si="3"/>
        <v>0</v>
      </c>
      <c r="R26" s="41">
        <f t="shared" si="4"/>
        <v>2500</v>
      </c>
      <c r="S26" s="42">
        <v>2500.0</v>
      </c>
      <c r="T26" s="41">
        <f t="shared" si="5"/>
        <v>0</v>
      </c>
      <c r="U26" s="43">
        <v>0.0</v>
      </c>
      <c r="V26" s="41">
        <v>0.0</v>
      </c>
      <c r="W26" s="41">
        <f t="shared" si="6"/>
        <v>2500</v>
      </c>
      <c r="X26" s="45">
        <f t="shared" si="7"/>
        <v>0</v>
      </c>
      <c r="Y26" s="46">
        <f t="shared" si="9"/>
        <v>0</v>
      </c>
      <c r="Z26" s="54">
        <v>0.0</v>
      </c>
    </row>
    <row r="27" ht="20.25" customHeight="1">
      <c r="A27" s="26">
        <v>21.0</v>
      </c>
      <c r="B27" s="83" t="s">
        <v>97</v>
      </c>
      <c r="C27" s="77" t="s">
        <v>98</v>
      </c>
      <c r="D27" s="84" t="s">
        <v>80</v>
      </c>
      <c r="E27" s="68" t="s">
        <v>42</v>
      </c>
      <c r="F27" s="77" t="s">
        <v>85</v>
      </c>
      <c r="G27" s="31">
        <v>31.0</v>
      </c>
      <c r="H27" s="32">
        <v>31.0</v>
      </c>
      <c r="I27" s="33">
        <f t="shared" si="1"/>
        <v>0</v>
      </c>
      <c r="J27" s="34">
        <f t="shared" si="2"/>
        <v>80.64516129</v>
      </c>
      <c r="K27" s="35">
        <v>0.0</v>
      </c>
      <c r="L27" s="58">
        <v>190.0</v>
      </c>
      <c r="M27" s="53">
        <v>2500.0</v>
      </c>
      <c r="N27" s="38">
        <v>0.0</v>
      </c>
      <c r="O27" s="39">
        <v>0.0</v>
      </c>
      <c r="P27" s="40">
        <v>0.0</v>
      </c>
      <c r="Q27" s="40">
        <f t="shared" si="3"/>
        <v>0</v>
      </c>
      <c r="R27" s="41">
        <f t="shared" si="4"/>
        <v>2500</v>
      </c>
      <c r="S27" s="42"/>
      <c r="T27" s="41">
        <f t="shared" si="5"/>
        <v>2500</v>
      </c>
      <c r="U27" s="43">
        <v>0.0</v>
      </c>
      <c r="V27" s="41">
        <v>0.0</v>
      </c>
      <c r="W27" s="41">
        <f t="shared" si="6"/>
        <v>2500</v>
      </c>
      <c r="X27" s="45">
        <f t="shared" si="7"/>
        <v>0</v>
      </c>
      <c r="Y27" s="46">
        <f t="shared" si="9"/>
        <v>190</v>
      </c>
      <c r="Z27" s="54">
        <v>0.0</v>
      </c>
    </row>
    <row r="28" ht="20.25" customHeight="1">
      <c r="A28" s="26">
        <v>22.0</v>
      </c>
      <c r="B28" s="88" t="s">
        <v>99</v>
      </c>
      <c r="C28" s="88" t="s">
        <v>100</v>
      </c>
      <c r="D28" s="89" t="s">
        <v>84</v>
      </c>
      <c r="E28" s="90" t="s">
        <v>35</v>
      </c>
      <c r="F28" s="91" t="s">
        <v>101</v>
      </c>
      <c r="G28" s="31">
        <v>31.0</v>
      </c>
      <c r="H28" s="32">
        <v>0.0</v>
      </c>
      <c r="I28" s="33">
        <f t="shared" si="1"/>
        <v>31</v>
      </c>
      <c r="J28" s="34">
        <f t="shared" si="2"/>
        <v>90.32258065</v>
      </c>
      <c r="K28" s="69">
        <v>0.0</v>
      </c>
      <c r="L28" s="58">
        <v>6000.0</v>
      </c>
      <c r="M28" s="70">
        <v>2800.0</v>
      </c>
      <c r="N28" s="38">
        <v>0.0</v>
      </c>
      <c r="O28" s="39">
        <v>0.0</v>
      </c>
      <c r="P28" s="40">
        <v>0.0</v>
      </c>
      <c r="Q28" s="40">
        <f t="shared" si="3"/>
        <v>0</v>
      </c>
      <c r="R28" s="41">
        <f t="shared" si="4"/>
        <v>2800</v>
      </c>
      <c r="S28" s="42">
        <v>0.0</v>
      </c>
      <c r="T28" s="41">
        <f t="shared" si="5"/>
        <v>0</v>
      </c>
      <c r="U28" s="43">
        <v>0.0</v>
      </c>
      <c r="V28" s="41">
        <v>0.0</v>
      </c>
      <c r="W28" s="41">
        <f t="shared" si="6"/>
        <v>0</v>
      </c>
      <c r="X28" s="45">
        <f t="shared" si="7"/>
        <v>0</v>
      </c>
      <c r="Y28" s="46">
        <f t="shared" si="9"/>
        <v>6000</v>
      </c>
      <c r="Z28" s="54">
        <v>2800.0</v>
      </c>
    </row>
    <row r="29" ht="20.25" customHeight="1">
      <c r="A29" s="26">
        <v>23.0</v>
      </c>
      <c r="B29" s="88" t="s">
        <v>102</v>
      </c>
      <c r="C29" s="88" t="s">
        <v>103</v>
      </c>
      <c r="D29" s="89" t="s">
        <v>104</v>
      </c>
      <c r="E29" s="90" t="s">
        <v>42</v>
      </c>
      <c r="F29" s="91" t="s">
        <v>101</v>
      </c>
      <c r="G29" s="31">
        <v>31.0</v>
      </c>
      <c r="H29" s="32">
        <v>0.0</v>
      </c>
      <c r="I29" s="33">
        <f t="shared" si="1"/>
        <v>31</v>
      </c>
      <c r="J29" s="34">
        <f t="shared" si="2"/>
        <v>80.64516129</v>
      </c>
      <c r="K29" s="69">
        <v>0.0</v>
      </c>
      <c r="L29" s="58">
        <v>12000.0</v>
      </c>
      <c r="M29" s="53">
        <v>2500.0</v>
      </c>
      <c r="N29" s="38">
        <v>0.0</v>
      </c>
      <c r="O29" s="39">
        <v>0.0</v>
      </c>
      <c r="P29" s="40">
        <v>0.0</v>
      </c>
      <c r="Q29" s="40">
        <f t="shared" si="3"/>
        <v>0</v>
      </c>
      <c r="R29" s="41">
        <f t="shared" si="4"/>
        <v>2500</v>
      </c>
      <c r="S29" s="42">
        <v>0.0</v>
      </c>
      <c r="T29" s="41">
        <f t="shared" si="5"/>
        <v>0</v>
      </c>
      <c r="U29" s="43">
        <v>0.0</v>
      </c>
      <c r="V29" s="44">
        <v>0.0</v>
      </c>
      <c r="W29" s="41">
        <f t="shared" si="6"/>
        <v>0</v>
      </c>
      <c r="X29" s="45">
        <f t="shared" si="7"/>
        <v>0</v>
      </c>
      <c r="Y29" s="46">
        <f t="shared" si="9"/>
        <v>12000</v>
      </c>
      <c r="Z29" s="54">
        <v>2500.0</v>
      </c>
    </row>
    <row r="30" ht="20.25" customHeight="1">
      <c r="A30" s="26">
        <v>24.0</v>
      </c>
      <c r="B30" s="88" t="s">
        <v>105</v>
      </c>
      <c r="C30" s="88" t="s">
        <v>106</v>
      </c>
      <c r="D30" s="89" t="s">
        <v>107</v>
      </c>
      <c r="E30" s="90" t="s">
        <v>42</v>
      </c>
      <c r="F30" s="91" t="s">
        <v>101</v>
      </c>
      <c r="G30" s="31">
        <v>31.0</v>
      </c>
      <c r="H30" s="32">
        <v>0.0</v>
      </c>
      <c r="I30" s="33">
        <f t="shared" si="1"/>
        <v>31</v>
      </c>
      <c r="J30" s="34">
        <f t="shared" si="2"/>
        <v>70.96774194</v>
      </c>
      <c r="K30" s="35">
        <v>0.0</v>
      </c>
      <c r="L30" s="58">
        <v>1600.0</v>
      </c>
      <c r="M30" s="53">
        <v>2200.0</v>
      </c>
      <c r="N30" s="38">
        <v>0.0</v>
      </c>
      <c r="O30" s="39">
        <v>0.0</v>
      </c>
      <c r="P30" s="40">
        <v>0.0</v>
      </c>
      <c r="Q30" s="40">
        <f t="shared" si="3"/>
        <v>0</v>
      </c>
      <c r="R30" s="41">
        <f t="shared" si="4"/>
        <v>2200</v>
      </c>
      <c r="S30" s="42">
        <v>0.0</v>
      </c>
      <c r="T30" s="53">
        <v>0.0</v>
      </c>
      <c r="U30" s="43">
        <v>0.0</v>
      </c>
      <c r="V30" s="41">
        <v>0.0</v>
      </c>
      <c r="W30" s="41">
        <f t="shared" si="6"/>
        <v>0</v>
      </c>
      <c r="X30" s="45">
        <f t="shared" si="7"/>
        <v>1800</v>
      </c>
      <c r="Y30" s="46">
        <f t="shared" si="9"/>
        <v>1600</v>
      </c>
      <c r="Z30" s="54">
        <v>400.0</v>
      </c>
    </row>
    <row r="31" ht="20.25" customHeight="1">
      <c r="A31" s="26">
        <v>26.0</v>
      </c>
      <c r="B31" s="92" t="s">
        <v>108</v>
      </c>
      <c r="C31" s="91" t="s">
        <v>109</v>
      </c>
      <c r="D31" s="89" t="s">
        <v>84</v>
      </c>
      <c r="E31" s="90" t="s">
        <v>35</v>
      </c>
      <c r="F31" s="91" t="s">
        <v>101</v>
      </c>
      <c r="G31" s="31">
        <v>31.0</v>
      </c>
      <c r="H31" s="32">
        <v>0.0</v>
      </c>
      <c r="I31" s="33">
        <f t="shared" si="1"/>
        <v>31</v>
      </c>
      <c r="J31" s="34">
        <f t="shared" si="2"/>
        <v>80.64516129</v>
      </c>
      <c r="K31" s="69">
        <v>0.0</v>
      </c>
      <c r="L31" s="58">
        <v>0.0</v>
      </c>
      <c r="M31" s="53">
        <v>2500.0</v>
      </c>
      <c r="N31" s="38">
        <v>0.0</v>
      </c>
      <c r="O31" s="39">
        <v>0.0</v>
      </c>
      <c r="P31" s="40">
        <v>0.0</v>
      </c>
      <c r="Q31" s="40">
        <f t="shared" si="3"/>
        <v>0</v>
      </c>
      <c r="R31" s="41">
        <f t="shared" si="4"/>
        <v>2500</v>
      </c>
      <c r="S31" s="42">
        <v>0.0</v>
      </c>
      <c r="T31" s="41">
        <f t="shared" ref="T31:T77" si="10">+H31*J31</f>
        <v>0</v>
      </c>
      <c r="U31" s="43">
        <v>0.0</v>
      </c>
      <c r="V31" s="41">
        <v>0.0</v>
      </c>
      <c r="W31" s="41">
        <f t="shared" si="6"/>
        <v>0</v>
      </c>
      <c r="X31" s="45">
        <f t="shared" si="7"/>
        <v>0</v>
      </c>
      <c r="Y31" s="46">
        <f t="shared" si="9"/>
        <v>0</v>
      </c>
      <c r="Z31" s="54">
        <v>2500.0</v>
      </c>
      <c r="AA31" s="60">
        <v>10725.0</v>
      </c>
    </row>
    <row r="32" ht="20.25" customHeight="1">
      <c r="A32" s="26">
        <v>27.0</v>
      </c>
      <c r="B32" s="92" t="s">
        <v>110</v>
      </c>
      <c r="C32" s="91" t="s">
        <v>111</v>
      </c>
      <c r="D32" s="89" t="s">
        <v>112</v>
      </c>
      <c r="E32" s="68" t="s">
        <v>62</v>
      </c>
      <c r="F32" s="91" t="s">
        <v>101</v>
      </c>
      <c r="G32" s="31">
        <v>31.0</v>
      </c>
      <c r="H32" s="32">
        <v>0.0</v>
      </c>
      <c r="I32" s="33">
        <f t="shared" si="1"/>
        <v>31</v>
      </c>
      <c r="J32" s="34">
        <f t="shared" si="2"/>
        <v>80.64516129</v>
      </c>
      <c r="K32" s="69">
        <v>0.0</v>
      </c>
      <c r="L32" s="58">
        <v>0.0</v>
      </c>
      <c r="M32" s="53">
        <v>2500.0</v>
      </c>
      <c r="N32" s="38">
        <v>0.0</v>
      </c>
      <c r="O32" s="39">
        <v>0.0</v>
      </c>
      <c r="P32" s="40">
        <v>0.0</v>
      </c>
      <c r="Q32" s="40">
        <f t="shared" si="3"/>
        <v>0</v>
      </c>
      <c r="R32" s="41">
        <f t="shared" si="4"/>
        <v>2500</v>
      </c>
      <c r="S32" s="42">
        <v>0.0</v>
      </c>
      <c r="T32" s="41">
        <f t="shared" si="10"/>
        <v>0</v>
      </c>
      <c r="U32" s="43">
        <v>0.0</v>
      </c>
      <c r="V32" s="41">
        <v>0.0</v>
      </c>
      <c r="W32" s="41">
        <f t="shared" si="6"/>
        <v>0</v>
      </c>
      <c r="X32" s="45">
        <f t="shared" si="7"/>
        <v>2500</v>
      </c>
      <c r="Y32" s="46">
        <f t="shared" si="9"/>
        <v>0</v>
      </c>
      <c r="Z32" s="54">
        <v>0.0</v>
      </c>
    </row>
    <row r="33" ht="20.25" customHeight="1">
      <c r="A33" s="26">
        <v>29.0</v>
      </c>
      <c r="B33" s="93" t="s">
        <v>113</v>
      </c>
      <c r="C33" s="94" t="s">
        <v>109</v>
      </c>
      <c r="D33" s="95" t="s">
        <v>91</v>
      </c>
      <c r="E33" s="68" t="s">
        <v>35</v>
      </c>
      <c r="F33" s="94" t="s">
        <v>114</v>
      </c>
      <c r="G33" s="31">
        <v>31.0</v>
      </c>
      <c r="H33" s="32">
        <v>15.0</v>
      </c>
      <c r="I33" s="33">
        <f t="shared" si="1"/>
        <v>16</v>
      </c>
      <c r="J33" s="34">
        <f t="shared" si="2"/>
        <v>90.32258065</v>
      </c>
      <c r="K33" s="35">
        <v>0.0</v>
      </c>
      <c r="L33" s="58">
        <v>0.0</v>
      </c>
      <c r="M33" s="53">
        <v>2800.0</v>
      </c>
      <c r="N33" s="38">
        <v>0.0</v>
      </c>
      <c r="O33" s="39">
        <v>0.0</v>
      </c>
      <c r="P33" s="40">
        <v>0.0</v>
      </c>
      <c r="Q33" s="40">
        <f t="shared" si="3"/>
        <v>0</v>
      </c>
      <c r="R33" s="41">
        <f t="shared" si="4"/>
        <v>2800</v>
      </c>
      <c r="S33" s="42"/>
      <c r="T33" s="41">
        <f t="shared" si="10"/>
        <v>1354.83871</v>
      </c>
      <c r="U33" s="43">
        <v>0.0</v>
      </c>
      <c r="V33" s="41">
        <v>0.0</v>
      </c>
      <c r="W33" s="41">
        <f t="shared" si="6"/>
        <v>1354.83871</v>
      </c>
      <c r="X33" s="45">
        <f t="shared" si="7"/>
        <v>1445.16129</v>
      </c>
      <c r="Y33" s="46">
        <f t="shared" si="9"/>
        <v>0</v>
      </c>
      <c r="Z33" s="54">
        <v>0.0</v>
      </c>
    </row>
    <row r="34" ht="20.25" customHeight="1">
      <c r="A34" s="26">
        <v>30.0</v>
      </c>
      <c r="B34" s="96" t="s">
        <v>115</v>
      </c>
      <c r="C34" s="97" t="s">
        <v>116</v>
      </c>
      <c r="D34" s="98" t="s">
        <v>88</v>
      </c>
      <c r="E34" s="68" t="s">
        <v>62</v>
      </c>
      <c r="F34" s="94" t="s">
        <v>114</v>
      </c>
      <c r="G34" s="31">
        <v>31.0</v>
      </c>
      <c r="H34" s="32">
        <v>0.0</v>
      </c>
      <c r="I34" s="33">
        <f t="shared" si="1"/>
        <v>31</v>
      </c>
      <c r="J34" s="34">
        <f t="shared" si="2"/>
        <v>58.06451613</v>
      </c>
      <c r="K34" s="35">
        <v>0.0</v>
      </c>
      <c r="L34" s="58">
        <v>5682.0</v>
      </c>
      <c r="M34" s="99">
        <v>1800.0</v>
      </c>
      <c r="N34" s="38">
        <v>0.0</v>
      </c>
      <c r="O34" s="39">
        <v>0.0</v>
      </c>
      <c r="P34" s="40">
        <v>0.0</v>
      </c>
      <c r="Q34" s="40">
        <f t="shared" si="3"/>
        <v>0</v>
      </c>
      <c r="R34" s="41">
        <f t="shared" si="4"/>
        <v>1800</v>
      </c>
      <c r="S34" s="42">
        <v>300.0</v>
      </c>
      <c r="T34" s="41">
        <f t="shared" si="10"/>
        <v>0</v>
      </c>
      <c r="U34" s="43">
        <v>0.0</v>
      </c>
      <c r="V34" s="53">
        <v>100.0</v>
      </c>
      <c r="W34" s="41">
        <f t="shared" si="6"/>
        <v>400</v>
      </c>
      <c r="X34" s="45">
        <f t="shared" si="7"/>
        <v>1000</v>
      </c>
      <c r="Y34" s="46">
        <f t="shared" si="9"/>
        <v>5382</v>
      </c>
      <c r="Z34" s="54">
        <v>400.0</v>
      </c>
    </row>
    <row r="35" ht="20.25" customHeight="1">
      <c r="A35" s="26">
        <v>31.0</v>
      </c>
      <c r="B35" s="100" t="s">
        <v>117</v>
      </c>
      <c r="C35" s="101" t="s">
        <v>118</v>
      </c>
      <c r="D35" s="102" t="s">
        <v>80</v>
      </c>
      <c r="E35" s="103" t="s">
        <v>35</v>
      </c>
      <c r="F35" s="101" t="s">
        <v>119</v>
      </c>
      <c r="G35" s="31">
        <v>31.0</v>
      </c>
      <c r="H35" s="32">
        <v>0.0</v>
      </c>
      <c r="I35" s="33">
        <f t="shared" si="1"/>
        <v>31</v>
      </c>
      <c r="J35" s="34">
        <f t="shared" si="2"/>
        <v>64.51612903</v>
      </c>
      <c r="K35" s="69">
        <v>0.0</v>
      </c>
      <c r="L35" s="58">
        <v>1800.0</v>
      </c>
      <c r="M35" s="70">
        <v>2000.0</v>
      </c>
      <c r="N35" s="38">
        <v>0.0</v>
      </c>
      <c r="O35" s="39">
        <v>0.0</v>
      </c>
      <c r="P35" s="40">
        <v>0.0</v>
      </c>
      <c r="Q35" s="40">
        <f t="shared" si="3"/>
        <v>0</v>
      </c>
      <c r="R35" s="41">
        <f t="shared" si="4"/>
        <v>2000</v>
      </c>
      <c r="S35" s="42">
        <v>0.0</v>
      </c>
      <c r="T35" s="41">
        <f t="shared" si="10"/>
        <v>0</v>
      </c>
      <c r="U35" s="43">
        <v>0.0</v>
      </c>
      <c r="V35" s="41">
        <v>0.0</v>
      </c>
      <c r="W35" s="41">
        <f t="shared" si="6"/>
        <v>0</v>
      </c>
      <c r="X35" s="45">
        <f t="shared" si="7"/>
        <v>1600</v>
      </c>
      <c r="Y35" s="46">
        <f t="shared" si="9"/>
        <v>1800</v>
      </c>
      <c r="Z35" s="54">
        <v>400.0</v>
      </c>
    </row>
    <row r="36" ht="20.25" customHeight="1">
      <c r="A36" s="26">
        <v>32.0</v>
      </c>
      <c r="B36" s="100" t="s">
        <v>120</v>
      </c>
      <c r="C36" s="100" t="s">
        <v>121</v>
      </c>
      <c r="D36" s="104" t="s">
        <v>122</v>
      </c>
      <c r="E36" s="103" t="s">
        <v>62</v>
      </c>
      <c r="F36" s="101" t="s">
        <v>119</v>
      </c>
      <c r="G36" s="31">
        <v>31.0</v>
      </c>
      <c r="H36" s="32">
        <v>0.0</v>
      </c>
      <c r="I36" s="33">
        <f t="shared" si="1"/>
        <v>31</v>
      </c>
      <c r="J36" s="34">
        <f t="shared" si="2"/>
        <v>58.06451613</v>
      </c>
      <c r="K36" s="69">
        <v>0.0</v>
      </c>
      <c r="L36" s="65">
        <v>0.0</v>
      </c>
      <c r="M36" s="70">
        <v>1800.0</v>
      </c>
      <c r="N36" s="38">
        <v>0.0</v>
      </c>
      <c r="O36" s="39">
        <v>0.0</v>
      </c>
      <c r="P36" s="40">
        <v>0.0</v>
      </c>
      <c r="Q36" s="40">
        <f t="shared" si="3"/>
        <v>0</v>
      </c>
      <c r="R36" s="41">
        <f t="shared" si="4"/>
        <v>1800</v>
      </c>
      <c r="S36" s="42">
        <v>0.0</v>
      </c>
      <c r="T36" s="41">
        <f t="shared" si="10"/>
        <v>0</v>
      </c>
      <c r="U36" s="43">
        <v>0.0</v>
      </c>
      <c r="V36" s="41">
        <v>0.0</v>
      </c>
      <c r="W36" s="41">
        <f t="shared" si="6"/>
        <v>0</v>
      </c>
      <c r="X36" s="45">
        <f t="shared" si="7"/>
        <v>1400</v>
      </c>
      <c r="Y36" s="46">
        <f t="shared" si="9"/>
        <v>0</v>
      </c>
      <c r="Z36" s="54">
        <v>400.0</v>
      </c>
    </row>
    <row r="37" ht="20.25" customHeight="1">
      <c r="A37" s="26">
        <v>33.0</v>
      </c>
      <c r="B37" s="105" t="s">
        <v>123</v>
      </c>
      <c r="C37" s="106" t="s">
        <v>124</v>
      </c>
      <c r="D37" s="107" t="s">
        <v>88</v>
      </c>
      <c r="E37" s="108" t="s">
        <v>62</v>
      </c>
      <c r="F37" s="109" t="s">
        <v>125</v>
      </c>
      <c r="G37" s="31">
        <v>31.0</v>
      </c>
      <c r="H37" s="32">
        <v>0.0</v>
      </c>
      <c r="I37" s="33">
        <f t="shared" si="1"/>
        <v>31</v>
      </c>
      <c r="J37" s="34">
        <f t="shared" si="2"/>
        <v>58.06451613</v>
      </c>
      <c r="K37" s="35">
        <v>0.0</v>
      </c>
      <c r="L37" s="58">
        <v>3500.0</v>
      </c>
      <c r="M37" s="53">
        <v>1800.0</v>
      </c>
      <c r="N37" s="38">
        <v>0.0</v>
      </c>
      <c r="O37" s="39">
        <v>0.0</v>
      </c>
      <c r="P37" s="40">
        <v>0.0</v>
      </c>
      <c r="Q37" s="40">
        <f t="shared" si="3"/>
        <v>0</v>
      </c>
      <c r="R37" s="41">
        <f t="shared" si="4"/>
        <v>1800</v>
      </c>
      <c r="S37" s="42">
        <v>1800.0</v>
      </c>
      <c r="T37" s="41">
        <f t="shared" si="10"/>
        <v>0</v>
      </c>
      <c r="U37" s="43">
        <v>0.0</v>
      </c>
      <c r="V37" s="41">
        <v>0.0</v>
      </c>
      <c r="W37" s="41">
        <f t="shared" si="6"/>
        <v>1800</v>
      </c>
      <c r="X37" s="45">
        <f t="shared" si="7"/>
        <v>0</v>
      </c>
      <c r="Y37" s="46">
        <f t="shared" si="9"/>
        <v>1700</v>
      </c>
      <c r="Z37" s="54">
        <v>0.0</v>
      </c>
    </row>
    <row r="38" ht="20.25" customHeight="1">
      <c r="A38" s="26">
        <v>34.0</v>
      </c>
      <c r="B38" s="110" t="s">
        <v>126</v>
      </c>
      <c r="C38" s="111" t="s">
        <v>127</v>
      </c>
      <c r="D38" s="112" t="s">
        <v>91</v>
      </c>
      <c r="E38" s="108" t="s">
        <v>42</v>
      </c>
      <c r="F38" s="113" t="s">
        <v>125</v>
      </c>
      <c r="G38" s="31">
        <v>31.0</v>
      </c>
      <c r="H38" s="32">
        <v>0.0</v>
      </c>
      <c r="I38" s="33">
        <f t="shared" si="1"/>
        <v>31</v>
      </c>
      <c r="J38" s="34">
        <f t="shared" si="2"/>
        <v>80.64516129</v>
      </c>
      <c r="K38" s="35">
        <v>0.0</v>
      </c>
      <c r="L38" s="58">
        <v>0.0</v>
      </c>
      <c r="M38" s="59">
        <v>2500.0</v>
      </c>
      <c r="N38" s="38">
        <v>0.0</v>
      </c>
      <c r="O38" s="39">
        <v>0.0</v>
      </c>
      <c r="P38" s="40">
        <v>0.0</v>
      </c>
      <c r="Q38" s="40">
        <f t="shared" si="3"/>
        <v>0</v>
      </c>
      <c r="R38" s="41">
        <f t="shared" si="4"/>
        <v>2500</v>
      </c>
      <c r="S38" s="42">
        <v>0.0</v>
      </c>
      <c r="T38" s="41">
        <f t="shared" si="10"/>
        <v>0</v>
      </c>
      <c r="U38" s="43">
        <v>0.0</v>
      </c>
      <c r="V38" s="41">
        <v>0.0</v>
      </c>
      <c r="W38" s="41">
        <f t="shared" si="6"/>
        <v>0</v>
      </c>
      <c r="X38" s="45">
        <f t="shared" si="7"/>
        <v>2500</v>
      </c>
      <c r="Y38" s="46">
        <f t="shared" si="9"/>
        <v>0</v>
      </c>
      <c r="Z38" s="54">
        <v>0.0</v>
      </c>
      <c r="AA38" s="60" t="s">
        <v>128</v>
      </c>
    </row>
    <row r="39" ht="20.25" customHeight="1">
      <c r="A39" s="26">
        <v>35.0</v>
      </c>
      <c r="B39" s="110" t="s">
        <v>129</v>
      </c>
      <c r="C39" s="110"/>
      <c r="D39" s="114" t="s">
        <v>122</v>
      </c>
      <c r="E39" s="108" t="s">
        <v>62</v>
      </c>
      <c r="F39" s="113" t="s">
        <v>125</v>
      </c>
      <c r="G39" s="31">
        <v>31.0</v>
      </c>
      <c r="H39" s="32">
        <v>0.0</v>
      </c>
      <c r="I39" s="33">
        <f t="shared" si="1"/>
        <v>31</v>
      </c>
      <c r="J39" s="34">
        <f t="shared" si="2"/>
        <v>61.29032258</v>
      </c>
      <c r="K39" s="35">
        <v>0.0</v>
      </c>
      <c r="L39" s="58">
        <v>0.0</v>
      </c>
      <c r="M39" s="59">
        <v>1900.0</v>
      </c>
      <c r="N39" s="38">
        <v>0.0</v>
      </c>
      <c r="O39" s="39">
        <v>0.0</v>
      </c>
      <c r="P39" s="40">
        <v>0.0</v>
      </c>
      <c r="Q39" s="40">
        <f t="shared" si="3"/>
        <v>0</v>
      </c>
      <c r="R39" s="41">
        <f t="shared" si="4"/>
        <v>1900</v>
      </c>
      <c r="S39" s="42">
        <v>0.0</v>
      </c>
      <c r="T39" s="41">
        <f t="shared" si="10"/>
        <v>0</v>
      </c>
      <c r="U39" s="43">
        <v>0.0</v>
      </c>
      <c r="V39" s="41">
        <v>0.0</v>
      </c>
      <c r="W39" s="41">
        <f t="shared" si="6"/>
        <v>0</v>
      </c>
      <c r="X39" s="45">
        <f t="shared" si="7"/>
        <v>1900</v>
      </c>
      <c r="Y39" s="46">
        <f t="shared" si="9"/>
        <v>0</v>
      </c>
      <c r="Z39" s="54">
        <v>0.0</v>
      </c>
    </row>
    <row r="40" ht="20.25" customHeight="1">
      <c r="A40" s="26">
        <v>36.0</v>
      </c>
      <c r="B40" s="115" t="s">
        <v>130</v>
      </c>
      <c r="C40" s="115" t="s">
        <v>109</v>
      </c>
      <c r="D40" s="116" t="s">
        <v>80</v>
      </c>
      <c r="E40" s="108" t="s">
        <v>35</v>
      </c>
      <c r="F40" s="113" t="s">
        <v>125</v>
      </c>
      <c r="G40" s="31">
        <v>31.0</v>
      </c>
      <c r="H40" s="32">
        <v>0.0</v>
      </c>
      <c r="I40" s="33">
        <f t="shared" si="1"/>
        <v>31</v>
      </c>
      <c r="J40" s="34">
        <f t="shared" si="2"/>
        <v>80.64516129</v>
      </c>
      <c r="K40" s="69">
        <v>0.0</v>
      </c>
      <c r="L40" s="58">
        <v>12704.0</v>
      </c>
      <c r="M40" s="117">
        <v>2500.0</v>
      </c>
      <c r="N40" s="38">
        <v>0.0</v>
      </c>
      <c r="O40" s="39">
        <v>0.0</v>
      </c>
      <c r="P40" s="40">
        <v>0.0</v>
      </c>
      <c r="Q40" s="40">
        <f t="shared" si="3"/>
        <v>0</v>
      </c>
      <c r="R40" s="41">
        <f t="shared" si="4"/>
        <v>2500</v>
      </c>
      <c r="S40" s="42">
        <v>2100.0</v>
      </c>
      <c r="T40" s="41">
        <f t="shared" si="10"/>
        <v>0</v>
      </c>
      <c r="U40" s="43">
        <v>0.0</v>
      </c>
      <c r="V40" s="41">
        <v>0.0</v>
      </c>
      <c r="W40" s="41">
        <f t="shared" si="6"/>
        <v>2100</v>
      </c>
      <c r="X40" s="45">
        <f t="shared" si="7"/>
        <v>0</v>
      </c>
      <c r="Y40" s="46">
        <f t="shared" si="9"/>
        <v>10604</v>
      </c>
      <c r="Z40" s="54">
        <v>400.0</v>
      </c>
      <c r="AA40" s="60" t="s">
        <v>131</v>
      </c>
    </row>
    <row r="41" ht="20.25" customHeight="1">
      <c r="A41" s="26">
        <v>37.0</v>
      </c>
      <c r="B41" s="118" t="s">
        <v>132</v>
      </c>
      <c r="C41" s="118" t="s">
        <v>133</v>
      </c>
      <c r="D41" s="119" t="s">
        <v>80</v>
      </c>
      <c r="E41" s="108" t="s">
        <v>62</v>
      </c>
      <c r="F41" s="113" t="s">
        <v>125</v>
      </c>
      <c r="G41" s="31">
        <v>31.0</v>
      </c>
      <c r="H41" s="32">
        <v>0.0</v>
      </c>
      <c r="I41" s="33">
        <f t="shared" si="1"/>
        <v>31</v>
      </c>
      <c r="J41" s="34">
        <f t="shared" si="2"/>
        <v>96.77419355</v>
      </c>
      <c r="K41" s="69">
        <v>0.0</v>
      </c>
      <c r="L41" s="58">
        <v>0.0</v>
      </c>
      <c r="M41" s="53">
        <v>3000.0</v>
      </c>
      <c r="N41" s="38">
        <v>0.0</v>
      </c>
      <c r="O41" s="39">
        <v>0.0</v>
      </c>
      <c r="P41" s="40">
        <v>0.0</v>
      </c>
      <c r="Q41" s="40">
        <f t="shared" si="3"/>
        <v>0</v>
      </c>
      <c r="R41" s="41">
        <f t="shared" si="4"/>
        <v>3000</v>
      </c>
      <c r="S41" s="42">
        <v>0.0</v>
      </c>
      <c r="T41" s="41">
        <f t="shared" si="10"/>
        <v>0</v>
      </c>
      <c r="U41" s="43">
        <v>0.0</v>
      </c>
      <c r="V41" s="41">
        <v>0.0</v>
      </c>
      <c r="W41" s="41">
        <f t="shared" si="6"/>
        <v>0</v>
      </c>
      <c r="X41" s="45">
        <f t="shared" si="7"/>
        <v>3000</v>
      </c>
      <c r="Y41" s="46">
        <f t="shared" si="9"/>
        <v>0</v>
      </c>
      <c r="Z41" s="54">
        <v>0.0</v>
      </c>
    </row>
    <row r="42" ht="20.25" customHeight="1">
      <c r="A42" s="26">
        <v>38.0</v>
      </c>
      <c r="B42" s="109" t="s">
        <v>134</v>
      </c>
      <c r="C42" s="106"/>
      <c r="D42" s="112" t="s">
        <v>77</v>
      </c>
      <c r="E42" s="120"/>
      <c r="F42" s="113" t="s">
        <v>125</v>
      </c>
      <c r="G42" s="31">
        <v>31.0</v>
      </c>
      <c r="H42" s="32">
        <v>0.0</v>
      </c>
      <c r="I42" s="33">
        <f t="shared" si="1"/>
        <v>31</v>
      </c>
      <c r="J42" s="34">
        <f t="shared" si="2"/>
        <v>129.0322581</v>
      </c>
      <c r="K42" s="69">
        <v>0.0</v>
      </c>
      <c r="L42" s="58">
        <v>0.0</v>
      </c>
      <c r="M42" s="70">
        <v>4000.0</v>
      </c>
      <c r="N42" s="38">
        <v>0.0</v>
      </c>
      <c r="O42" s="39">
        <v>0.0</v>
      </c>
      <c r="P42" s="40">
        <v>0.0</v>
      </c>
      <c r="Q42" s="40">
        <f t="shared" si="3"/>
        <v>0</v>
      </c>
      <c r="R42" s="41">
        <f t="shared" si="4"/>
        <v>4000</v>
      </c>
      <c r="S42" s="42">
        <v>0.0</v>
      </c>
      <c r="T42" s="41">
        <f t="shared" si="10"/>
        <v>0</v>
      </c>
      <c r="U42" s="43">
        <v>0.0</v>
      </c>
      <c r="V42" s="41">
        <v>0.0</v>
      </c>
      <c r="W42" s="41">
        <f t="shared" si="6"/>
        <v>0</v>
      </c>
      <c r="X42" s="45">
        <f t="shared" si="7"/>
        <v>0</v>
      </c>
      <c r="Y42" s="46">
        <f t="shared" si="9"/>
        <v>0</v>
      </c>
      <c r="Z42" s="54">
        <v>4000.0</v>
      </c>
    </row>
    <row r="43" ht="20.25" customHeight="1">
      <c r="A43" s="26">
        <v>39.0</v>
      </c>
      <c r="B43" s="109" t="s">
        <v>135</v>
      </c>
      <c r="C43" s="109" t="s">
        <v>136</v>
      </c>
      <c r="D43" s="112" t="s">
        <v>137</v>
      </c>
      <c r="E43" s="108" t="s">
        <v>62</v>
      </c>
      <c r="F43" s="109" t="s">
        <v>125</v>
      </c>
      <c r="G43" s="31">
        <v>31.0</v>
      </c>
      <c r="H43" s="32">
        <v>0.0</v>
      </c>
      <c r="I43" s="33">
        <f t="shared" si="1"/>
        <v>31</v>
      </c>
      <c r="J43" s="34">
        <f t="shared" si="2"/>
        <v>48.38709677</v>
      </c>
      <c r="K43" s="69">
        <v>0.0</v>
      </c>
      <c r="L43" s="58">
        <v>1500.0</v>
      </c>
      <c r="M43" s="70">
        <v>1500.0</v>
      </c>
      <c r="N43" s="38">
        <v>0.0</v>
      </c>
      <c r="O43" s="39">
        <v>0.0</v>
      </c>
      <c r="P43" s="40">
        <v>0.0</v>
      </c>
      <c r="Q43" s="40">
        <f t="shared" si="3"/>
        <v>0</v>
      </c>
      <c r="R43" s="41">
        <f t="shared" si="4"/>
        <v>1500</v>
      </c>
      <c r="S43" s="42">
        <v>500.0</v>
      </c>
      <c r="T43" s="41">
        <f t="shared" si="10"/>
        <v>0</v>
      </c>
      <c r="U43" s="43">
        <v>0.0</v>
      </c>
      <c r="V43" s="41">
        <v>0.0</v>
      </c>
      <c r="W43" s="41">
        <f t="shared" si="6"/>
        <v>500</v>
      </c>
      <c r="X43" s="45">
        <f t="shared" si="7"/>
        <v>1000</v>
      </c>
      <c r="Y43" s="46">
        <f t="shared" si="9"/>
        <v>1000</v>
      </c>
      <c r="Z43" s="54">
        <v>0.0</v>
      </c>
    </row>
    <row r="44" ht="20.25" customHeight="1">
      <c r="A44" s="26">
        <v>40.0</v>
      </c>
      <c r="B44" s="109" t="s">
        <v>138</v>
      </c>
      <c r="C44" s="109" t="s">
        <v>139</v>
      </c>
      <c r="D44" s="112" t="s">
        <v>74</v>
      </c>
      <c r="E44" s="108" t="s">
        <v>62</v>
      </c>
      <c r="F44" s="109" t="s">
        <v>125</v>
      </c>
      <c r="G44" s="31">
        <v>31.0</v>
      </c>
      <c r="H44" s="32">
        <v>0.0</v>
      </c>
      <c r="I44" s="33">
        <f t="shared" si="1"/>
        <v>31</v>
      </c>
      <c r="J44" s="34">
        <f t="shared" si="2"/>
        <v>32.25806452</v>
      </c>
      <c r="K44" s="69">
        <v>0.0</v>
      </c>
      <c r="L44" s="58">
        <v>0.0</v>
      </c>
      <c r="M44" s="70">
        <v>1000.0</v>
      </c>
      <c r="N44" s="38">
        <v>0.0</v>
      </c>
      <c r="O44" s="39">
        <v>0.0</v>
      </c>
      <c r="P44" s="40">
        <v>0.0</v>
      </c>
      <c r="Q44" s="40">
        <f t="shared" si="3"/>
        <v>0</v>
      </c>
      <c r="R44" s="41">
        <f t="shared" si="4"/>
        <v>1000</v>
      </c>
      <c r="S44" s="42">
        <v>0.0</v>
      </c>
      <c r="T44" s="41">
        <f t="shared" si="10"/>
        <v>0</v>
      </c>
      <c r="U44" s="43">
        <v>0.0</v>
      </c>
      <c r="V44" s="41">
        <v>0.0</v>
      </c>
      <c r="W44" s="41">
        <f t="shared" si="6"/>
        <v>0</v>
      </c>
      <c r="X44" s="45">
        <f t="shared" si="7"/>
        <v>1000</v>
      </c>
      <c r="Y44" s="46">
        <f t="shared" si="9"/>
        <v>0</v>
      </c>
      <c r="Z44" s="54">
        <v>0.0</v>
      </c>
    </row>
    <row r="45" ht="20.25" customHeight="1">
      <c r="A45" s="26">
        <v>41.0</v>
      </c>
      <c r="B45" s="109" t="s">
        <v>140</v>
      </c>
      <c r="C45" s="109" t="s">
        <v>141</v>
      </c>
      <c r="D45" s="112" t="s">
        <v>80</v>
      </c>
      <c r="E45" s="108" t="s">
        <v>42</v>
      </c>
      <c r="F45" s="109" t="s">
        <v>125</v>
      </c>
      <c r="G45" s="31">
        <v>31.0</v>
      </c>
      <c r="H45" s="32">
        <v>0.0</v>
      </c>
      <c r="I45" s="33">
        <f t="shared" si="1"/>
        <v>31</v>
      </c>
      <c r="J45" s="34">
        <f t="shared" si="2"/>
        <v>48.38709677</v>
      </c>
      <c r="K45" s="69">
        <v>0.0</v>
      </c>
      <c r="L45" s="58">
        <v>0.0</v>
      </c>
      <c r="M45" s="70">
        <v>1500.0</v>
      </c>
      <c r="N45" s="38">
        <v>0.0</v>
      </c>
      <c r="O45" s="39">
        <v>0.0</v>
      </c>
      <c r="P45" s="40">
        <v>0.0</v>
      </c>
      <c r="Q45" s="40">
        <f t="shared" si="3"/>
        <v>0</v>
      </c>
      <c r="R45" s="41">
        <f t="shared" si="4"/>
        <v>1500</v>
      </c>
      <c r="S45" s="42">
        <v>0.0</v>
      </c>
      <c r="T45" s="41">
        <f t="shared" si="10"/>
        <v>0</v>
      </c>
      <c r="U45" s="43">
        <v>0.0</v>
      </c>
      <c r="V45" s="41">
        <v>0.0</v>
      </c>
      <c r="W45" s="41">
        <f t="shared" si="6"/>
        <v>0</v>
      </c>
      <c r="X45" s="45">
        <f t="shared" si="7"/>
        <v>1500</v>
      </c>
      <c r="Y45" s="46">
        <f t="shared" si="9"/>
        <v>0</v>
      </c>
      <c r="Z45" s="54">
        <v>0.0</v>
      </c>
    </row>
    <row r="46" ht="20.25" customHeight="1">
      <c r="A46" s="26">
        <v>42.0</v>
      </c>
      <c r="B46" s="94" t="s">
        <v>142</v>
      </c>
      <c r="C46" s="121" t="s">
        <v>143</v>
      </c>
      <c r="D46" s="122" t="s">
        <v>88</v>
      </c>
      <c r="E46" s="123" t="s">
        <v>62</v>
      </c>
      <c r="F46" s="94" t="s">
        <v>144</v>
      </c>
      <c r="G46" s="31">
        <v>31.0</v>
      </c>
      <c r="H46" s="32">
        <v>0.0</v>
      </c>
      <c r="I46" s="33">
        <f t="shared" si="1"/>
        <v>31</v>
      </c>
      <c r="J46" s="34">
        <f t="shared" si="2"/>
        <v>48.38709677</v>
      </c>
      <c r="K46" s="69">
        <v>0.0</v>
      </c>
      <c r="L46" s="58">
        <v>0.0</v>
      </c>
      <c r="M46" s="53">
        <v>1500.0</v>
      </c>
      <c r="N46" s="38">
        <v>0.0</v>
      </c>
      <c r="O46" s="39">
        <v>0.0</v>
      </c>
      <c r="P46" s="40">
        <v>0.0</v>
      </c>
      <c r="Q46" s="40">
        <f t="shared" si="3"/>
        <v>0</v>
      </c>
      <c r="R46" s="41">
        <f t="shared" si="4"/>
        <v>1500</v>
      </c>
      <c r="S46" s="42">
        <v>0.0</v>
      </c>
      <c r="T46" s="41">
        <f t="shared" si="10"/>
        <v>0</v>
      </c>
      <c r="U46" s="43">
        <v>0.0</v>
      </c>
      <c r="V46" s="41">
        <v>0.0</v>
      </c>
      <c r="W46" s="41">
        <f t="shared" si="6"/>
        <v>0</v>
      </c>
      <c r="X46" s="45">
        <f t="shared" si="7"/>
        <v>1500</v>
      </c>
      <c r="Y46" s="46"/>
      <c r="Z46" s="54">
        <v>0.0</v>
      </c>
    </row>
    <row r="47" ht="20.25" customHeight="1">
      <c r="A47" s="26">
        <v>43.0</v>
      </c>
      <c r="B47" s="94" t="s">
        <v>145</v>
      </c>
      <c r="C47" s="121" t="s">
        <v>146</v>
      </c>
      <c r="D47" s="122" t="s">
        <v>88</v>
      </c>
      <c r="E47" s="123" t="s">
        <v>62</v>
      </c>
      <c r="F47" s="94" t="s">
        <v>144</v>
      </c>
      <c r="G47" s="31">
        <v>31.0</v>
      </c>
      <c r="H47" s="32">
        <v>0.0</v>
      </c>
      <c r="I47" s="33">
        <f t="shared" si="1"/>
        <v>31</v>
      </c>
      <c r="J47" s="34">
        <f t="shared" si="2"/>
        <v>48.38709677</v>
      </c>
      <c r="K47" s="69">
        <v>0.0</v>
      </c>
      <c r="L47" s="65">
        <v>0.0</v>
      </c>
      <c r="M47" s="53">
        <v>1500.0</v>
      </c>
      <c r="N47" s="38">
        <v>0.0</v>
      </c>
      <c r="O47" s="39">
        <v>0.0</v>
      </c>
      <c r="P47" s="40">
        <v>0.0</v>
      </c>
      <c r="Q47" s="40">
        <f t="shared" si="3"/>
        <v>0</v>
      </c>
      <c r="R47" s="41">
        <f t="shared" si="4"/>
        <v>1500</v>
      </c>
      <c r="S47" s="42">
        <v>0.0</v>
      </c>
      <c r="T47" s="41">
        <f t="shared" si="10"/>
        <v>0</v>
      </c>
      <c r="U47" s="43">
        <v>0.0</v>
      </c>
      <c r="V47" s="41">
        <v>0.0</v>
      </c>
      <c r="W47" s="41">
        <f t="shared" si="6"/>
        <v>0</v>
      </c>
      <c r="X47" s="45">
        <f t="shared" si="7"/>
        <v>1500</v>
      </c>
      <c r="Y47" s="46">
        <f t="shared" ref="Y47:Y68" si="11">L47-S47</f>
        <v>0</v>
      </c>
      <c r="Z47" s="54">
        <v>0.0</v>
      </c>
    </row>
    <row r="48" ht="20.25" customHeight="1">
      <c r="A48" s="26">
        <v>44.0</v>
      </c>
      <c r="B48" s="93" t="s">
        <v>147</v>
      </c>
      <c r="C48" s="94" t="s">
        <v>148</v>
      </c>
      <c r="D48" s="95" t="s">
        <v>88</v>
      </c>
      <c r="E48" s="68" t="s">
        <v>42</v>
      </c>
      <c r="F48" s="94" t="s">
        <v>144</v>
      </c>
      <c r="G48" s="31">
        <v>31.0</v>
      </c>
      <c r="H48" s="32">
        <v>0.0</v>
      </c>
      <c r="I48" s="33">
        <f t="shared" si="1"/>
        <v>31</v>
      </c>
      <c r="J48" s="34">
        <f t="shared" si="2"/>
        <v>48.38709677</v>
      </c>
      <c r="K48" s="35">
        <v>0.0</v>
      </c>
      <c r="L48" s="58">
        <v>500.0</v>
      </c>
      <c r="M48" s="53">
        <v>1500.0</v>
      </c>
      <c r="N48" s="38">
        <v>0.0</v>
      </c>
      <c r="O48" s="39">
        <v>0.0</v>
      </c>
      <c r="P48" s="40">
        <v>0.0</v>
      </c>
      <c r="Q48" s="40">
        <f t="shared" si="3"/>
        <v>0</v>
      </c>
      <c r="R48" s="41">
        <f t="shared" si="4"/>
        <v>1500</v>
      </c>
      <c r="S48" s="42">
        <v>0.0</v>
      </c>
      <c r="T48" s="41">
        <f t="shared" si="10"/>
        <v>0</v>
      </c>
      <c r="U48" s="43">
        <v>0.0</v>
      </c>
      <c r="V48" s="41">
        <v>0.0</v>
      </c>
      <c r="W48" s="41">
        <f t="shared" si="6"/>
        <v>0</v>
      </c>
      <c r="X48" s="45">
        <f t="shared" si="7"/>
        <v>1500</v>
      </c>
      <c r="Y48" s="46">
        <f t="shared" si="11"/>
        <v>500</v>
      </c>
      <c r="Z48" s="54">
        <v>0.0</v>
      </c>
    </row>
    <row r="49" ht="20.25" customHeight="1">
      <c r="A49" s="26">
        <v>45.0</v>
      </c>
      <c r="B49" s="93" t="s">
        <v>149</v>
      </c>
      <c r="C49" s="94" t="s">
        <v>109</v>
      </c>
      <c r="D49" s="95" t="s">
        <v>88</v>
      </c>
      <c r="E49" s="68" t="s">
        <v>42</v>
      </c>
      <c r="F49" s="94" t="s">
        <v>144</v>
      </c>
      <c r="G49" s="31">
        <v>31.0</v>
      </c>
      <c r="H49" s="32">
        <v>0.0</v>
      </c>
      <c r="I49" s="33">
        <f t="shared" si="1"/>
        <v>31</v>
      </c>
      <c r="J49" s="34">
        <f t="shared" si="2"/>
        <v>58.06451613</v>
      </c>
      <c r="K49" s="35">
        <v>0.0</v>
      </c>
      <c r="L49" s="58">
        <v>570.0</v>
      </c>
      <c r="M49" s="53">
        <v>1800.0</v>
      </c>
      <c r="N49" s="38">
        <v>0.0</v>
      </c>
      <c r="O49" s="39">
        <v>0.0</v>
      </c>
      <c r="P49" s="40">
        <v>0.0</v>
      </c>
      <c r="Q49" s="40">
        <f t="shared" si="3"/>
        <v>0</v>
      </c>
      <c r="R49" s="41">
        <f t="shared" si="4"/>
        <v>1800</v>
      </c>
      <c r="S49" s="42">
        <v>0.0</v>
      </c>
      <c r="T49" s="41">
        <f t="shared" si="10"/>
        <v>0</v>
      </c>
      <c r="U49" s="43">
        <v>0.0</v>
      </c>
      <c r="V49" s="41">
        <v>0.0</v>
      </c>
      <c r="W49" s="41">
        <f t="shared" si="6"/>
        <v>0</v>
      </c>
      <c r="X49" s="45">
        <f t="shared" si="7"/>
        <v>1800</v>
      </c>
      <c r="Y49" s="46">
        <f t="shared" si="11"/>
        <v>570</v>
      </c>
      <c r="Z49" s="54">
        <v>0.0</v>
      </c>
      <c r="AA49" s="60">
        <v>3979.6</v>
      </c>
    </row>
    <row r="50" ht="20.25" customHeight="1">
      <c r="A50" s="26">
        <v>46.0</v>
      </c>
      <c r="B50" s="124" t="s">
        <v>150</v>
      </c>
      <c r="C50" s="124" t="s">
        <v>151</v>
      </c>
      <c r="D50" s="125" t="s">
        <v>152</v>
      </c>
      <c r="E50" s="68" t="s">
        <v>62</v>
      </c>
      <c r="F50" s="124" t="s">
        <v>153</v>
      </c>
      <c r="G50" s="31">
        <v>31.0</v>
      </c>
      <c r="H50" s="32">
        <v>0.0</v>
      </c>
      <c r="I50" s="33">
        <f t="shared" si="1"/>
        <v>31</v>
      </c>
      <c r="J50" s="34">
        <f t="shared" si="2"/>
        <v>48.38709677</v>
      </c>
      <c r="K50" s="35">
        <v>0.0</v>
      </c>
      <c r="L50" s="58">
        <v>0.0</v>
      </c>
      <c r="M50" s="53">
        <v>1500.0</v>
      </c>
      <c r="N50" s="38">
        <v>0.0</v>
      </c>
      <c r="O50" s="39">
        <v>0.0</v>
      </c>
      <c r="P50" s="40">
        <v>0.0</v>
      </c>
      <c r="Q50" s="40">
        <f t="shared" si="3"/>
        <v>0</v>
      </c>
      <c r="R50" s="41">
        <f t="shared" si="4"/>
        <v>1500</v>
      </c>
      <c r="S50" s="42">
        <v>0.0</v>
      </c>
      <c r="T50" s="41">
        <f t="shared" si="10"/>
        <v>0</v>
      </c>
      <c r="U50" s="43">
        <v>0.0</v>
      </c>
      <c r="V50" s="41">
        <v>0.0</v>
      </c>
      <c r="W50" s="41">
        <f t="shared" si="6"/>
        <v>0</v>
      </c>
      <c r="X50" s="45">
        <f t="shared" si="7"/>
        <v>1500</v>
      </c>
      <c r="Y50" s="46">
        <f t="shared" si="11"/>
        <v>0</v>
      </c>
      <c r="Z50" s="54">
        <v>0.0</v>
      </c>
    </row>
    <row r="51" ht="20.25" customHeight="1">
      <c r="A51" s="26">
        <v>47.0</v>
      </c>
      <c r="B51" s="124" t="s">
        <v>154</v>
      </c>
      <c r="C51" s="124" t="s">
        <v>60</v>
      </c>
      <c r="D51" s="125" t="s">
        <v>152</v>
      </c>
      <c r="E51" s="68" t="s">
        <v>62</v>
      </c>
      <c r="F51" s="124" t="s">
        <v>153</v>
      </c>
      <c r="G51" s="31">
        <v>31.0</v>
      </c>
      <c r="H51" s="32">
        <v>0.0</v>
      </c>
      <c r="I51" s="33">
        <f t="shared" si="1"/>
        <v>31</v>
      </c>
      <c r="J51" s="34">
        <f t="shared" si="2"/>
        <v>38.70967742</v>
      </c>
      <c r="K51" s="35">
        <v>0.0</v>
      </c>
      <c r="L51" s="58">
        <v>0.0</v>
      </c>
      <c r="M51" s="53">
        <v>1200.0</v>
      </c>
      <c r="N51" s="38">
        <v>0.0</v>
      </c>
      <c r="O51" s="39">
        <v>100.0</v>
      </c>
      <c r="P51" s="40">
        <v>0.0</v>
      </c>
      <c r="Q51" s="40">
        <f t="shared" si="3"/>
        <v>0</v>
      </c>
      <c r="R51" s="41">
        <f t="shared" si="4"/>
        <v>1300</v>
      </c>
      <c r="S51" s="42">
        <v>0.0</v>
      </c>
      <c r="T51" s="41">
        <f t="shared" si="10"/>
        <v>0</v>
      </c>
      <c r="U51" s="43">
        <v>0.0</v>
      </c>
      <c r="V51" s="41">
        <v>0.0</v>
      </c>
      <c r="W51" s="41">
        <f t="shared" si="6"/>
        <v>0</v>
      </c>
      <c r="X51" s="45">
        <f t="shared" si="7"/>
        <v>1300</v>
      </c>
      <c r="Y51" s="46">
        <f t="shared" si="11"/>
        <v>0</v>
      </c>
      <c r="Z51" s="54">
        <v>0.0</v>
      </c>
    </row>
    <row r="52" ht="20.25" customHeight="1">
      <c r="A52" s="26">
        <v>48.0</v>
      </c>
      <c r="B52" s="126" t="s">
        <v>155</v>
      </c>
      <c r="C52" s="126" t="s">
        <v>156</v>
      </c>
      <c r="D52" s="127" t="s">
        <v>91</v>
      </c>
      <c r="E52" s="68" t="s">
        <v>35</v>
      </c>
      <c r="F52" s="126" t="s">
        <v>153</v>
      </c>
      <c r="G52" s="31">
        <v>31.0</v>
      </c>
      <c r="H52" s="32">
        <v>0.0</v>
      </c>
      <c r="I52" s="33">
        <f t="shared" si="1"/>
        <v>31</v>
      </c>
      <c r="J52" s="34">
        <f t="shared" si="2"/>
        <v>80.64516129</v>
      </c>
      <c r="K52" s="35">
        <v>0.0</v>
      </c>
      <c r="L52" s="58">
        <v>6500.0</v>
      </c>
      <c r="M52" s="53">
        <v>2500.0</v>
      </c>
      <c r="N52" s="38">
        <v>0.0</v>
      </c>
      <c r="O52" s="39">
        <v>0.0</v>
      </c>
      <c r="P52" s="40">
        <v>0.0</v>
      </c>
      <c r="Q52" s="40">
        <f t="shared" si="3"/>
        <v>0</v>
      </c>
      <c r="R52" s="41">
        <f t="shared" si="4"/>
        <v>2500</v>
      </c>
      <c r="S52" s="42">
        <v>1000.0</v>
      </c>
      <c r="T52" s="41">
        <f t="shared" si="10"/>
        <v>0</v>
      </c>
      <c r="U52" s="43">
        <v>0.0</v>
      </c>
      <c r="V52" s="41">
        <v>0.0</v>
      </c>
      <c r="W52" s="41">
        <f t="shared" si="6"/>
        <v>1000</v>
      </c>
      <c r="X52" s="45">
        <f t="shared" si="7"/>
        <v>1100</v>
      </c>
      <c r="Y52" s="46">
        <f t="shared" si="11"/>
        <v>5500</v>
      </c>
      <c r="Z52" s="54">
        <v>400.0</v>
      </c>
      <c r="AB52" s="60">
        <v>12000.0</v>
      </c>
      <c r="AC52" s="60">
        <v>13.0</v>
      </c>
      <c r="AD52" s="128">
        <f>AC52*AB52</f>
        <v>156000</v>
      </c>
    </row>
    <row r="53" ht="20.25" customHeight="1">
      <c r="A53" s="26">
        <v>49.0</v>
      </c>
      <c r="B53" s="124" t="s">
        <v>157</v>
      </c>
      <c r="C53" s="124" t="s">
        <v>158</v>
      </c>
      <c r="D53" s="125" t="s">
        <v>152</v>
      </c>
      <c r="E53" s="68" t="s">
        <v>62</v>
      </c>
      <c r="F53" s="126" t="s">
        <v>153</v>
      </c>
      <c r="G53" s="31">
        <v>31.0</v>
      </c>
      <c r="H53" s="32">
        <v>0.0</v>
      </c>
      <c r="I53" s="33">
        <f t="shared" si="1"/>
        <v>31</v>
      </c>
      <c r="J53" s="34">
        <f t="shared" si="2"/>
        <v>48.38709677</v>
      </c>
      <c r="K53" s="69">
        <v>0.0</v>
      </c>
      <c r="L53" s="58">
        <v>500.0</v>
      </c>
      <c r="M53" s="70">
        <v>1500.0</v>
      </c>
      <c r="N53" s="38">
        <v>0.0</v>
      </c>
      <c r="O53" s="39">
        <v>0.0</v>
      </c>
      <c r="P53" s="40">
        <v>0.0</v>
      </c>
      <c r="Q53" s="40">
        <f t="shared" si="3"/>
        <v>0</v>
      </c>
      <c r="R53" s="41">
        <f t="shared" si="4"/>
        <v>1500</v>
      </c>
      <c r="S53" s="42">
        <v>0.0</v>
      </c>
      <c r="T53" s="41">
        <f t="shared" si="10"/>
        <v>0</v>
      </c>
      <c r="U53" s="43">
        <v>0.0</v>
      </c>
      <c r="V53" s="41">
        <v>0.0</v>
      </c>
      <c r="W53" s="41">
        <f t="shared" si="6"/>
        <v>0</v>
      </c>
      <c r="X53" s="45">
        <f t="shared" si="7"/>
        <v>1500</v>
      </c>
      <c r="Y53" s="46">
        <f t="shared" si="11"/>
        <v>500</v>
      </c>
      <c r="Z53" s="54">
        <v>0.0</v>
      </c>
    </row>
    <row r="54" ht="20.25" customHeight="1">
      <c r="A54" s="26">
        <v>50.0</v>
      </c>
      <c r="B54" s="129" t="s">
        <v>159</v>
      </c>
      <c r="C54" s="129" t="s">
        <v>160</v>
      </c>
      <c r="D54" s="125" t="s">
        <v>152</v>
      </c>
      <c r="E54" s="68" t="s">
        <v>62</v>
      </c>
      <c r="F54" s="126" t="s">
        <v>153</v>
      </c>
      <c r="G54" s="31">
        <v>31.0</v>
      </c>
      <c r="H54" s="32">
        <v>0.0</v>
      </c>
      <c r="I54" s="33">
        <f t="shared" si="1"/>
        <v>31</v>
      </c>
      <c r="J54" s="34">
        <f t="shared" si="2"/>
        <v>48.38709677</v>
      </c>
      <c r="K54" s="69">
        <v>0.0</v>
      </c>
      <c r="L54" s="58">
        <v>4000.0</v>
      </c>
      <c r="M54" s="53">
        <v>1500.0</v>
      </c>
      <c r="N54" s="38">
        <v>0.0</v>
      </c>
      <c r="O54" s="39">
        <v>0.0</v>
      </c>
      <c r="P54" s="40">
        <v>0.0</v>
      </c>
      <c r="Q54" s="40">
        <f t="shared" si="3"/>
        <v>0</v>
      </c>
      <c r="R54" s="41">
        <f t="shared" si="4"/>
        <v>1500</v>
      </c>
      <c r="S54" s="42">
        <v>0.0</v>
      </c>
      <c r="T54" s="41">
        <f t="shared" si="10"/>
        <v>0</v>
      </c>
      <c r="U54" s="43">
        <v>0.0</v>
      </c>
      <c r="V54" s="41">
        <v>0.0</v>
      </c>
      <c r="W54" s="41">
        <f t="shared" si="6"/>
        <v>0</v>
      </c>
      <c r="X54" s="45">
        <f t="shared" si="7"/>
        <v>1500</v>
      </c>
      <c r="Y54" s="46">
        <f t="shared" si="11"/>
        <v>4000</v>
      </c>
      <c r="Z54" s="54">
        <v>0.0</v>
      </c>
    </row>
    <row r="55" ht="20.25" customHeight="1">
      <c r="A55" s="26">
        <v>51.0</v>
      </c>
      <c r="B55" s="124" t="s">
        <v>161</v>
      </c>
      <c r="C55" s="124" t="s">
        <v>162</v>
      </c>
      <c r="D55" s="125" t="s">
        <v>152</v>
      </c>
      <c r="E55" s="68" t="s">
        <v>62</v>
      </c>
      <c r="F55" s="126" t="s">
        <v>153</v>
      </c>
      <c r="G55" s="31">
        <v>31.0</v>
      </c>
      <c r="H55" s="32">
        <v>0.0</v>
      </c>
      <c r="I55" s="33">
        <f t="shared" si="1"/>
        <v>31</v>
      </c>
      <c r="J55" s="34">
        <f t="shared" si="2"/>
        <v>38.70967742</v>
      </c>
      <c r="K55" s="69">
        <v>0.0</v>
      </c>
      <c r="L55" s="58">
        <v>1000.0</v>
      </c>
      <c r="M55" s="53">
        <v>1200.0</v>
      </c>
      <c r="N55" s="38">
        <v>0.0</v>
      </c>
      <c r="O55" s="39">
        <v>100.0</v>
      </c>
      <c r="P55" s="40">
        <v>0.0</v>
      </c>
      <c r="Q55" s="40">
        <f t="shared" si="3"/>
        <v>0</v>
      </c>
      <c r="R55" s="41">
        <f t="shared" si="4"/>
        <v>1300</v>
      </c>
      <c r="S55" s="42">
        <v>0.0</v>
      </c>
      <c r="T55" s="41">
        <f t="shared" si="10"/>
        <v>0</v>
      </c>
      <c r="U55" s="43">
        <v>0.0</v>
      </c>
      <c r="V55" s="41">
        <v>0.0</v>
      </c>
      <c r="W55" s="41">
        <f t="shared" si="6"/>
        <v>0</v>
      </c>
      <c r="X55" s="45">
        <f t="shared" si="7"/>
        <v>1300</v>
      </c>
      <c r="Y55" s="46">
        <f t="shared" si="11"/>
        <v>1000</v>
      </c>
      <c r="Z55" s="54">
        <v>0.0</v>
      </c>
    </row>
    <row r="56" ht="20.25" customHeight="1">
      <c r="A56" s="26">
        <v>52.0</v>
      </c>
      <c r="B56" s="124" t="s">
        <v>163</v>
      </c>
      <c r="C56" s="124" t="s">
        <v>164</v>
      </c>
      <c r="D56" s="125" t="s">
        <v>152</v>
      </c>
      <c r="E56" s="68" t="s">
        <v>62</v>
      </c>
      <c r="F56" s="126" t="s">
        <v>153</v>
      </c>
      <c r="G56" s="31">
        <v>31.0</v>
      </c>
      <c r="H56" s="32">
        <v>0.0</v>
      </c>
      <c r="I56" s="33">
        <f t="shared" si="1"/>
        <v>31</v>
      </c>
      <c r="J56" s="34">
        <f t="shared" si="2"/>
        <v>48.38709677</v>
      </c>
      <c r="K56" s="69">
        <v>0.0</v>
      </c>
      <c r="L56" s="65">
        <v>0.0</v>
      </c>
      <c r="M56" s="53">
        <v>1500.0</v>
      </c>
      <c r="N56" s="38">
        <v>0.0</v>
      </c>
      <c r="O56" s="39">
        <v>0.0</v>
      </c>
      <c r="P56" s="40">
        <v>0.0</v>
      </c>
      <c r="Q56" s="40">
        <f t="shared" si="3"/>
        <v>0</v>
      </c>
      <c r="R56" s="41">
        <f t="shared" si="4"/>
        <v>1500</v>
      </c>
      <c r="S56" s="42">
        <v>0.0</v>
      </c>
      <c r="T56" s="41">
        <f t="shared" si="10"/>
        <v>0</v>
      </c>
      <c r="U56" s="43">
        <v>0.0</v>
      </c>
      <c r="V56" s="41">
        <v>0.0</v>
      </c>
      <c r="W56" s="41">
        <f t="shared" si="6"/>
        <v>0</v>
      </c>
      <c r="X56" s="45">
        <f t="shared" si="7"/>
        <v>1500</v>
      </c>
      <c r="Y56" s="46">
        <f t="shared" si="11"/>
        <v>0</v>
      </c>
      <c r="Z56" s="54">
        <v>0.0</v>
      </c>
    </row>
    <row r="57" ht="20.25" customHeight="1">
      <c r="A57" s="26">
        <v>53.0</v>
      </c>
      <c r="B57" s="124" t="s">
        <v>165</v>
      </c>
      <c r="C57" s="124" t="s">
        <v>166</v>
      </c>
      <c r="D57" s="125" t="s">
        <v>152</v>
      </c>
      <c r="E57" s="68" t="s">
        <v>62</v>
      </c>
      <c r="F57" s="126" t="s">
        <v>153</v>
      </c>
      <c r="G57" s="31">
        <v>31.0</v>
      </c>
      <c r="H57" s="32">
        <v>5.0</v>
      </c>
      <c r="I57" s="31">
        <v>31.0</v>
      </c>
      <c r="J57" s="34">
        <f t="shared" si="2"/>
        <v>38.70967742</v>
      </c>
      <c r="K57" s="69">
        <v>0.0</v>
      </c>
      <c r="L57" s="65">
        <v>0.0</v>
      </c>
      <c r="M57" s="53">
        <v>1200.0</v>
      </c>
      <c r="N57" s="38">
        <v>0.0</v>
      </c>
      <c r="O57" s="39">
        <v>100.0</v>
      </c>
      <c r="P57" s="40">
        <v>0.0</v>
      </c>
      <c r="Q57" s="40">
        <f t="shared" si="3"/>
        <v>0</v>
      </c>
      <c r="R57" s="41">
        <f t="shared" si="4"/>
        <v>1300</v>
      </c>
      <c r="S57" s="42">
        <v>0.0</v>
      </c>
      <c r="T57" s="41">
        <f t="shared" si="10"/>
        <v>193.5483871</v>
      </c>
      <c r="U57" s="43">
        <v>0.0</v>
      </c>
      <c r="V57" s="41">
        <v>0.0</v>
      </c>
      <c r="W57" s="41">
        <f t="shared" si="6"/>
        <v>193.5483871</v>
      </c>
      <c r="X57" s="45">
        <f t="shared" si="7"/>
        <v>1106.451613</v>
      </c>
      <c r="Y57" s="46">
        <f t="shared" si="11"/>
        <v>0</v>
      </c>
      <c r="Z57" s="54">
        <v>0.0</v>
      </c>
    </row>
    <row r="58" ht="20.25" customHeight="1">
      <c r="A58" s="26">
        <v>54.0</v>
      </c>
      <c r="B58" s="124" t="s">
        <v>167</v>
      </c>
      <c r="C58" s="124" t="s">
        <v>168</v>
      </c>
      <c r="D58" s="125" t="s">
        <v>152</v>
      </c>
      <c r="E58" s="68" t="s">
        <v>62</v>
      </c>
      <c r="F58" s="126" t="s">
        <v>153</v>
      </c>
      <c r="G58" s="31">
        <v>31.0</v>
      </c>
      <c r="H58" s="32">
        <v>8.0</v>
      </c>
      <c r="I58" s="31">
        <v>31.0</v>
      </c>
      <c r="J58" s="34">
        <f t="shared" si="2"/>
        <v>38.70967742</v>
      </c>
      <c r="K58" s="69">
        <v>0.0</v>
      </c>
      <c r="L58" s="58">
        <v>200.0</v>
      </c>
      <c r="M58" s="53">
        <v>1200.0</v>
      </c>
      <c r="N58" s="38">
        <v>0.0</v>
      </c>
      <c r="O58" s="39">
        <v>100.0</v>
      </c>
      <c r="P58" s="40">
        <v>0.0</v>
      </c>
      <c r="Q58" s="40">
        <f t="shared" si="3"/>
        <v>0</v>
      </c>
      <c r="R58" s="41">
        <f t="shared" si="4"/>
        <v>1300</v>
      </c>
      <c r="S58" s="42">
        <v>0.0</v>
      </c>
      <c r="T58" s="41">
        <f t="shared" si="10"/>
        <v>309.6774194</v>
      </c>
      <c r="U58" s="43">
        <v>0.0</v>
      </c>
      <c r="V58" s="41">
        <v>0.0</v>
      </c>
      <c r="W58" s="41">
        <f t="shared" si="6"/>
        <v>309.6774194</v>
      </c>
      <c r="X58" s="45">
        <f t="shared" si="7"/>
        <v>990.3225806</v>
      </c>
      <c r="Y58" s="46">
        <f t="shared" si="11"/>
        <v>200</v>
      </c>
      <c r="Z58" s="54">
        <v>0.0</v>
      </c>
    </row>
    <row r="59" ht="20.25" customHeight="1">
      <c r="A59" s="26">
        <v>55.0</v>
      </c>
      <c r="B59" s="124" t="s">
        <v>169</v>
      </c>
      <c r="C59" s="124" t="s">
        <v>170</v>
      </c>
      <c r="D59" s="125" t="s">
        <v>152</v>
      </c>
      <c r="E59" s="68" t="s">
        <v>62</v>
      </c>
      <c r="F59" s="126" t="s">
        <v>153</v>
      </c>
      <c r="G59" s="31">
        <v>31.0</v>
      </c>
      <c r="H59" s="32">
        <v>2.0</v>
      </c>
      <c r="I59" s="31">
        <v>31.0</v>
      </c>
      <c r="J59" s="34">
        <f t="shared" si="2"/>
        <v>38.70967742</v>
      </c>
      <c r="K59" s="69">
        <v>0.0</v>
      </c>
      <c r="L59" s="58">
        <v>200.0</v>
      </c>
      <c r="M59" s="53">
        <v>1200.0</v>
      </c>
      <c r="N59" s="38">
        <v>0.0</v>
      </c>
      <c r="O59" s="39">
        <v>100.0</v>
      </c>
      <c r="P59" s="40">
        <v>0.0</v>
      </c>
      <c r="Q59" s="40">
        <f t="shared" si="3"/>
        <v>0</v>
      </c>
      <c r="R59" s="41">
        <f t="shared" si="4"/>
        <v>1300</v>
      </c>
      <c r="S59" s="42">
        <v>0.0</v>
      </c>
      <c r="T59" s="41">
        <f t="shared" si="10"/>
        <v>77.41935484</v>
      </c>
      <c r="U59" s="43">
        <v>0.0</v>
      </c>
      <c r="V59" s="41">
        <v>0.0</v>
      </c>
      <c r="W59" s="41">
        <f t="shared" si="6"/>
        <v>77.41935484</v>
      </c>
      <c r="X59" s="45">
        <f t="shared" si="7"/>
        <v>1222.580645</v>
      </c>
      <c r="Y59" s="46">
        <f t="shared" si="11"/>
        <v>200</v>
      </c>
      <c r="Z59" s="54">
        <v>0.0</v>
      </c>
    </row>
    <row r="60" ht="20.25" customHeight="1">
      <c r="A60" s="26">
        <v>56.0</v>
      </c>
      <c r="B60" s="130" t="s">
        <v>171</v>
      </c>
      <c r="C60" s="131"/>
      <c r="D60" s="132" t="s">
        <v>80</v>
      </c>
      <c r="E60" s="68" t="s">
        <v>62</v>
      </c>
      <c r="F60" s="133" t="s">
        <v>172</v>
      </c>
      <c r="G60" s="31">
        <v>31.0</v>
      </c>
      <c r="H60" s="32"/>
      <c r="I60" s="33">
        <f t="shared" ref="I60:I77" si="12">G60-H60</f>
        <v>31</v>
      </c>
      <c r="J60" s="34">
        <f t="shared" si="2"/>
        <v>48.38709677</v>
      </c>
      <c r="K60" s="69">
        <v>0.0</v>
      </c>
      <c r="L60" s="65">
        <v>0.0</v>
      </c>
      <c r="M60" s="53">
        <v>1500.0</v>
      </c>
      <c r="N60" s="38">
        <v>0.0</v>
      </c>
      <c r="O60" s="39">
        <v>0.0</v>
      </c>
      <c r="P60" s="40">
        <v>0.0</v>
      </c>
      <c r="Q60" s="40">
        <f t="shared" si="3"/>
        <v>0</v>
      </c>
      <c r="R60" s="41">
        <f t="shared" si="4"/>
        <v>1500</v>
      </c>
      <c r="S60" s="42">
        <v>0.0</v>
      </c>
      <c r="T60" s="41">
        <f t="shared" si="10"/>
        <v>0</v>
      </c>
      <c r="U60" s="43">
        <v>0.0</v>
      </c>
      <c r="V60" s="41">
        <v>0.0</v>
      </c>
      <c r="W60" s="41">
        <f t="shared" si="6"/>
        <v>0</v>
      </c>
      <c r="X60" s="45">
        <f t="shared" si="7"/>
        <v>1500</v>
      </c>
      <c r="Y60" s="46">
        <f t="shared" si="11"/>
        <v>0</v>
      </c>
      <c r="Z60" s="54">
        <v>0.0</v>
      </c>
    </row>
    <row r="61" ht="20.25" customHeight="1">
      <c r="A61" s="26">
        <v>57.0</v>
      </c>
      <c r="B61" s="134" t="s">
        <v>173</v>
      </c>
      <c r="C61" s="131" t="s">
        <v>174</v>
      </c>
      <c r="D61" s="135" t="s">
        <v>88</v>
      </c>
      <c r="E61" s="68" t="s">
        <v>42</v>
      </c>
      <c r="F61" s="136" t="s">
        <v>172</v>
      </c>
      <c r="G61" s="31">
        <v>31.0</v>
      </c>
      <c r="H61" s="32">
        <v>0.0</v>
      </c>
      <c r="I61" s="33">
        <f t="shared" si="12"/>
        <v>31</v>
      </c>
      <c r="J61" s="34">
        <f t="shared" si="2"/>
        <v>61.29032258</v>
      </c>
      <c r="K61" s="35">
        <v>0.0</v>
      </c>
      <c r="L61" s="58">
        <v>5500.0</v>
      </c>
      <c r="M61" s="137">
        <v>1900.0</v>
      </c>
      <c r="N61" s="38">
        <v>0.0</v>
      </c>
      <c r="O61" s="39">
        <v>0.0</v>
      </c>
      <c r="P61" s="40">
        <v>0.0</v>
      </c>
      <c r="Q61" s="40">
        <f t="shared" si="3"/>
        <v>0</v>
      </c>
      <c r="R61" s="41">
        <f t="shared" si="4"/>
        <v>1900</v>
      </c>
      <c r="S61" s="42">
        <v>0.0</v>
      </c>
      <c r="T61" s="41">
        <f t="shared" si="10"/>
        <v>0</v>
      </c>
      <c r="U61" s="43">
        <v>0.0</v>
      </c>
      <c r="V61" s="41">
        <v>0.0</v>
      </c>
      <c r="W61" s="41">
        <f t="shared" si="6"/>
        <v>0</v>
      </c>
      <c r="X61" s="45">
        <f t="shared" si="7"/>
        <v>1900</v>
      </c>
      <c r="Y61" s="46">
        <f t="shared" si="11"/>
        <v>5500</v>
      </c>
      <c r="Z61" s="54">
        <v>0.0</v>
      </c>
    </row>
    <row r="62" ht="24.0" customHeight="1">
      <c r="A62" s="26">
        <v>58.0</v>
      </c>
      <c r="B62" s="138" t="s">
        <v>175</v>
      </c>
      <c r="C62" s="138" t="s">
        <v>176</v>
      </c>
      <c r="D62" s="139" t="s">
        <v>80</v>
      </c>
      <c r="E62" s="140" t="s">
        <v>35</v>
      </c>
      <c r="F62" s="141" t="s">
        <v>177</v>
      </c>
      <c r="G62" s="31">
        <v>31.0</v>
      </c>
      <c r="H62" s="32">
        <v>0.0</v>
      </c>
      <c r="I62" s="33">
        <f t="shared" si="12"/>
        <v>31</v>
      </c>
      <c r="J62" s="34">
        <f t="shared" si="2"/>
        <v>48.38709677</v>
      </c>
      <c r="K62" s="142">
        <v>0.0</v>
      </c>
      <c r="L62" s="143">
        <v>0.0</v>
      </c>
      <c r="M62" s="144">
        <v>1500.0</v>
      </c>
      <c r="N62" s="38">
        <v>0.0</v>
      </c>
      <c r="O62" s="39">
        <v>0.0</v>
      </c>
      <c r="P62" s="40">
        <v>0.0</v>
      </c>
      <c r="Q62" s="40">
        <f t="shared" si="3"/>
        <v>0</v>
      </c>
      <c r="R62" s="145">
        <f t="shared" si="4"/>
        <v>1500</v>
      </c>
      <c r="S62" s="42">
        <v>0.0</v>
      </c>
      <c r="T62" s="145">
        <f t="shared" si="10"/>
        <v>0</v>
      </c>
      <c r="U62" s="38">
        <v>0.0</v>
      </c>
      <c r="V62" s="145">
        <v>0.0</v>
      </c>
      <c r="W62" s="145">
        <f t="shared" si="6"/>
        <v>0</v>
      </c>
      <c r="X62" s="45">
        <f t="shared" si="7"/>
        <v>1100</v>
      </c>
      <c r="Y62" s="146">
        <f t="shared" si="11"/>
        <v>0</v>
      </c>
      <c r="Z62" s="54">
        <v>400.0</v>
      </c>
      <c r="AA62" s="60" t="s">
        <v>178</v>
      </c>
    </row>
    <row r="63" ht="20.25" customHeight="1">
      <c r="A63" s="26">
        <v>59.0</v>
      </c>
      <c r="B63" s="138" t="s">
        <v>179</v>
      </c>
      <c r="C63" s="138" t="s">
        <v>180</v>
      </c>
      <c r="D63" s="147" t="s">
        <v>122</v>
      </c>
      <c r="E63" s="140" t="s">
        <v>42</v>
      </c>
      <c r="F63" s="141" t="s">
        <v>177</v>
      </c>
      <c r="G63" s="31">
        <v>31.0</v>
      </c>
      <c r="H63" s="32">
        <v>0.0</v>
      </c>
      <c r="I63" s="33">
        <f t="shared" si="12"/>
        <v>31</v>
      </c>
      <c r="J63" s="34">
        <f t="shared" si="2"/>
        <v>54.83870968</v>
      </c>
      <c r="K63" s="35">
        <v>0.0</v>
      </c>
      <c r="L63" s="58">
        <v>100.0</v>
      </c>
      <c r="M63" s="53">
        <v>1700.0</v>
      </c>
      <c r="N63" s="38">
        <v>0.0</v>
      </c>
      <c r="O63" s="39">
        <v>0.0</v>
      </c>
      <c r="P63" s="40">
        <v>0.0</v>
      </c>
      <c r="Q63" s="40">
        <f t="shared" si="3"/>
        <v>0</v>
      </c>
      <c r="R63" s="41">
        <f t="shared" si="4"/>
        <v>1700</v>
      </c>
      <c r="S63" s="42">
        <v>100.0</v>
      </c>
      <c r="T63" s="41">
        <f t="shared" si="10"/>
        <v>0</v>
      </c>
      <c r="U63" s="43">
        <v>0.0</v>
      </c>
      <c r="V63" s="41">
        <v>0.0</v>
      </c>
      <c r="W63" s="41">
        <f t="shared" si="6"/>
        <v>100</v>
      </c>
      <c r="X63" s="45">
        <f t="shared" si="7"/>
        <v>1600</v>
      </c>
      <c r="Y63" s="46">
        <f t="shared" si="11"/>
        <v>0</v>
      </c>
      <c r="Z63" s="54">
        <v>0.0</v>
      </c>
      <c r="AB63" s="148">
        <v>7800.0</v>
      </c>
    </row>
    <row r="64" ht="20.25" customHeight="1">
      <c r="A64" s="26">
        <v>60.0</v>
      </c>
      <c r="B64" s="149" t="s">
        <v>181</v>
      </c>
      <c r="C64" s="149" t="s">
        <v>182</v>
      </c>
      <c r="D64" s="122" t="s">
        <v>183</v>
      </c>
      <c r="E64" s="68" t="s">
        <v>42</v>
      </c>
      <c r="F64" s="149" t="s">
        <v>81</v>
      </c>
      <c r="G64" s="31">
        <v>31.0</v>
      </c>
      <c r="H64" s="32">
        <v>0.0</v>
      </c>
      <c r="I64" s="33">
        <f t="shared" si="12"/>
        <v>31</v>
      </c>
      <c r="J64" s="34">
        <f t="shared" si="2"/>
        <v>96.77419355</v>
      </c>
      <c r="K64" s="35">
        <v>0.0</v>
      </c>
      <c r="L64" s="58">
        <v>500.0</v>
      </c>
      <c r="M64" s="70">
        <v>3000.0</v>
      </c>
      <c r="N64" s="38">
        <v>0.0</v>
      </c>
      <c r="O64" s="39">
        <v>0.0</v>
      </c>
      <c r="P64" s="40">
        <v>0.0</v>
      </c>
      <c r="Q64" s="40">
        <f t="shared" si="3"/>
        <v>0</v>
      </c>
      <c r="R64" s="41">
        <f t="shared" si="4"/>
        <v>3000</v>
      </c>
      <c r="S64" s="42">
        <v>500.0</v>
      </c>
      <c r="T64" s="41">
        <f t="shared" si="10"/>
        <v>0</v>
      </c>
      <c r="U64" s="43">
        <v>0.0</v>
      </c>
      <c r="V64" s="41">
        <v>0.0</v>
      </c>
      <c r="W64" s="41">
        <f t="shared" si="6"/>
        <v>500</v>
      </c>
      <c r="X64" s="45">
        <f t="shared" si="7"/>
        <v>2500</v>
      </c>
      <c r="Y64" s="46">
        <f t="shared" si="11"/>
        <v>0</v>
      </c>
      <c r="Z64" s="54">
        <v>0.0</v>
      </c>
    </row>
    <row r="65" ht="20.25" customHeight="1">
      <c r="A65" s="26">
        <v>61.0</v>
      </c>
      <c r="B65" s="94" t="s">
        <v>184</v>
      </c>
      <c r="C65" s="149"/>
      <c r="D65" s="95" t="s">
        <v>77</v>
      </c>
      <c r="E65" s="68"/>
      <c r="F65" s="149" t="s">
        <v>81</v>
      </c>
      <c r="G65" s="31">
        <v>31.0</v>
      </c>
      <c r="H65" s="32"/>
      <c r="I65" s="33">
        <f t="shared" si="12"/>
        <v>31</v>
      </c>
      <c r="J65" s="34">
        <f t="shared" si="2"/>
        <v>129.0322581</v>
      </c>
      <c r="K65" s="35">
        <v>0.0</v>
      </c>
      <c r="L65" s="58">
        <v>3000.0</v>
      </c>
      <c r="M65" s="53">
        <v>4000.0</v>
      </c>
      <c r="N65" s="38">
        <v>0.0</v>
      </c>
      <c r="O65" s="39">
        <v>0.0</v>
      </c>
      <c r="P65" s="40">
        <v>0.0</v>
      </c>
      <c r="Q65" s="40">
        <f t="shared" si="3"/>
        <v>0</v>
      </c>
      <c r="R65" s="41">
        <f t="shared" si="4"/>
        <v>4000</v>
      </c>
      <c r="S65" s="42">
        <v>0.0</v>
      </c>
      <c r="T65" s="41">
        <f t="shared" si="10"/>
        <v>0</v>
      </c>
      <c r="U65" s="43">
        <v>0.0</v>
      </c>
      <c r="V65" s="41">
        <v>0.0</v>
      </c>
      <c r="W65" s="41">
        <f t="shared" si="6"/>
        <v>0</v>
      </c>
      <c r="X65" s="45">
        <f t="shared" si="7"/>
        <v>0</v>
      </c>
      <c r="Y65" s="46">
        <f t="shared" si="11"/>
        <v>3000</v>
      </c>
      <c r="Z65" s="54">
        <v>4000.0</v>
      </c>
    </row>
    <row r="66" ht="20.25" customHeight="1">
      <c r="A66" s="26">
        <v>62.0</v>
      </c>
      <c r="B66" s="149" t="s">
        <v>185</v>
      </c>
      <c r="C66" s="149" t="s">
        <v>186</v>
      </c>
      <c r="D66" s="122" t="s">
        <v>88</v>
      </c>
      <c r="E66" s="68" t="s">
        <v>35</v>
      </c>
      <c r="F66" s="149" t="s">
        <v>81</v>
      </c>
      <c r="G66" s="31">
        <v>31.0</v>
      </c>
      <c r="H66" s="32">
        <v>11.0</v>
      </c>
      <c r="I66" s="33">
        <f t="shared" si="12"/>
        <v>20</v>
      </c>
      <c r="J66" s="34">
        <f t="shared" si="2"/>
        <v>87.09677419</v>
      </c>
      <c r="K66" s="69">
        <v>0.0</v>
      </c>
      <c r="L66" s="58">
        <v>1800.0</v>
      </c>
      <c r="M66" s="53">
        <v>2700.0</v>
      </c>
      <c r="N66" s="38">
        <v>0.0</v>
      </c>
      <c r="O66" s="39">
        <v>0.0</v>
      </c>
      <c r="P66" s="40">
        <v>0.0</v>
      </c>
      <c r="Q66" s="40">
        <f t="shared" si="3"/>
        <v>0</v>
      </c>
      <c r="R66" s="41">
        <f t="shared" si="4"/>
        <v>2700</v>
      </c>
      <c r="S66" s="42">
        <v>742.0</v>
      </c>
      <c r="T66" s="41">
        <f t="shared" si="10"/>
        <v>958.0645161</v>
      </c>
      <c r="U66" s="43">
        <v>0.0</v>
      </c>
      <c r="V66" s="41">
        <v>0.0</v>
      </c>
      <c r="W66" s="41">
        <f t="shared" si="6"/>
        <v>1700.064516</v>
      </c>
      <c r="X66" s="45">
        <f t="shared" si="7"/>
        <v>-0.06451612903</v>
      </c>
      <c r="Y66" s="46">
        <f t="shared" si="11"/>
        <v>1058</v>
      </c>
      <c r="Z66" s="54">
        <v>1000.0</v>
      </c>
    </row>
    <row r="67" ht="20.25" customHeight="1">
      <c r="A67" s="26">
        <v>63.0</v>
      </c>
      <c r="B67" s="149" t="s">
        <v>187</v>
      </c>
      <c r="C67" s="149" t="s">
        <v>188</v>
      </c>
      <c r="D67" s="122" t="s">
        <v>122</v>
      </c>
      <c r="E67" s="68" t="s">
        <v>35</v>
      </c>
      <c r="F67" s="149" t="s">
        <v>81</v>
      </c>
      <c r="G67" s="31">
        <v>31.0</v>
      </c>
      <c r="H67" s="32">
        <v>0.0</v>
      </c>
      <c r="I67" s="33">
        <f t="shared" si="12"/>
        <v>31</v>
      </c>
      <c r="J67" s="34">
        <f t="shared" si="2"/>
        <v>64.51612903</v>
      </c>
      <c r="K67" s="35">
        <v>0.0</v>
      </c>
      <c r="L67" s="58">
        <v>500.0</v>
      </c>
      <c r="M67" s="70">
        <v>2000.0</v>
      </c>
      <c r="N67" s="38">
        <v>0.0</v>
      </c>
      <c r="O67" s="39">
        <v>0.0</v>
      </c>
      <c r="P67" s="40">
        <v>0.0</v>
      </c>
      <c r="Q67" s="40">
        <f t="shared" si="3"/>
        <v>0</v>
      </c>
      <c r="R67" s="41">
        <f t="shared" si="4"/>
        <v>2000</v>
      </c>
      <c r="S67" s="42">
        <v>500.0</v>
      </c>
      <c r="T67" s="41">
        <f t="shared" si="10"/>
        <v>0</v>
      </c>
      <c r="U67" s="43">
        <v>0.0</v>
      </c>
      <c r="V67" s="53">
        <v>100.0</v>
      </c>
      <c r="W67" s="41">
        <f t="shared" si="6"/>
        <v>600</v>
      </c>
      <c r="X67" s="45">
        <f t="shared" si="7"/>
        <v>1000</v>
      </c>
      <c r="Y67" s="46">
        <f t="shared" si="11"/>
        <v>0</v>
      </c>
      <c r="Z67" s="54">
        <v>400.0</v>
      </c>
    </row>
    <row r="68" ht="20.25" customHeight="1">
      <c r="A68" s="26">
        <v>64.0</v>
      </c>
      <c r="B68" s="96" t="s">
        <v>189</v>
      </c>
      <c r="C68" s="97" t="s">
        <v>190</v>
      </c>
      <c r="D68" s="98" t="s">
        <v>80</v>
      </c>
      <c r="E68" s="68" t="s">
        <v>62</v>
      </c>
      <c r="F68" s="149" t="s">
        <v>81</v>
      </c>
      <c r="G68" s="31">
        <v>31.0</v>
      </c>
      <c r="H68" s="32">
        <v>31.0</v>
      </c>
      <c r="I68" s="33">
        <f t="shared" si="12"/>
        <v>0</v>
      </c>
      <c r="J68" s="34">
        <f t="shared" si="2"/>
        <v>112.9032258</v>
      </c>
      <c r="K68" s="69">
        <v>0.0</v>
      </c>
      <c r="L68" s="58">
        <v>3500.0</v>
      </c>
      <c r="M68" s="137">
        <v>3500.0</v>
      </c>
      <c r="N68" s="38">
        <v>0.0</v>
      </c>
      <c r="O68" s="39">
        <v>0.0</v>
      </c>
      <c r="P68" s="40">
        <v>0.0</v>
      </c>
      <c r="Q68" s="40">
        <f t="shared" si="3"/>
        <v>0</v>
      </c>
      <c r="R68" s="41">
        <f t="shared" si="4"/>
        <v>3500</v>
      </c>
      <c r="S68" s="42">
        <v>0.0</v>
      </c>
      <c r="T68" s="41">
        <f t="shared" si="10"/>
        <v>3500</v>
      </c>
      <c r="U68" s="43">
        <v>0.0</v>
      </c>
      <c r="V68" s="41">
        <v>0.0</v>
      </c>
      <c r="W68" s="41">
        <f t="shared" si="6"/>
        <v>3500</v>
      </c>
      <c r="X68" s="45">
        <f t="shared" si="7"/>
        <v>0</v>
      </c>
      <c r="Y68" s="46">
        <f t="shared" si="11"/>
        <v>3500</v>
      </c>
      <c r="Z68" s="54">
        <v>0.0</v>
      </c>
    </row>
    <row r="69" ht="20.25" customHeight="1">
      <c r="A69" s="26">
        <v>65.0</v>
      </c>
      <c r="B69" s="150" t="s">
        <v>191</v>
      </c>
      <c r="C69" s="150" t="s">
        <v>192</v>
      </c>
      <c r="D69" s="151" t="s">
        <v>80</v>
      </c>
      <c r="E69" s="68" t="s">
        <v>62</v>
      </c>
      <c r="F69" s="149" t="s">
        <v>81</v>
      </c>
      <c r="G69" s="31">
        <v>31.0</v>
      </c>
      <c r="H69" s="32">
        <v>0.0</v>
      </c>
      <c r="I69" s="33">
        <f t="shared" si="12"/>
        <v>31</v>
      </c>
      <c r="J69" s="34">
        <f t="shared" si="2"/>
        <v>96.77419355</v>
      </c>
      <c r="K69" s="152">
        <v>0.0</v>
      </c>
      <c r="L69" s="58">
        <v>10000.0</v>
      </c>
      <c r="M69" s="153">
        <v>3000.0</v>
      </c>
      <c r="N69" s="38">
        <v>0.0</v>
      </c>
      <c r="O69" s="39">
        <v>0.0</v>
      </c>
      <c r="P69" s="40">
        <v>0.0</v>
      </c>
      <c r="Q69" s="40">
        <f t="shared" si="3"/>
        <v>0</v>
      </c>
      <c r="R69" s="41">
        <f t="shared" si="4"/>
        <v>3000</v>
      </c>
      <c r="S69" s="42">
        <v>500.0</v>
      </c>
      <c r="T69" s="41">
        <f t="shared" si="10"/>
        <v>0</v>
      </c>
      <c r="U69" s="43">
        <v>0.0</v>
      </c>
      <c r="V69" s="41">
        <v>0.0</v>
      </c>
      <c r="W69" s="41">
        <f t="shared" si="6"/>
        <v>500</v>
      </c>
      <c r="X69" s="45">
        <f t="shared" si="7"/>
        <v>2500</v>
      </c>
      <c r="Y69" s="154">
        <v>0.0</v>
      </c>
      <c r="Z69" s="54">
        <v>0.0</v>
      </c>
      <c r="AA69" s="60" t="s">
        <v>193</v>
      </c>
    </row>
    <row r="70" ht="20.25" customHeight="1">
      <c r="A70" s="26">
        <v>66.0</v>
      </c>
      <c r="B70" s="150" t="s">
        <v>194</v>
      </c>
      <c r="C70" s="150" t="s">
        <v>195</v>
      </c>
      <c r="D70" s="151" t="s">
        <v>122</v>
      </c>
      <c r="E70" s="68" t="s">
        <v>62</v>
      </c>
      <c r="F70" s="149" t="s">
        <v>81</v>
      </c>
      <c r="G70" s="31">
        <v>31.0</v>
      </c>
      <c r="H70" s="32">
        <v>0.0</v>
      </c>
      <c r="I70" s="33">
        <f t="shared" si="12"/>
        <v>31</v>
      </c>
      <c r="J70" s="34">
        <f t="shared" si="2"/>
        <v>48.38709677</v>
      </c>
      <c r="K70" s="69">
        <v>0.0</v>
      </c>
      <c r="L70" s="58">
        <v>0.0</v>
      </c>
      <c r="M70" s="53">
        <v>1500.0</v>
      </c>
      <c r="N70" s="38">
        <v>0.0</v>
      </c>
      <c r="O70" s="39">
        <v>0.0</v>
      </c>
      <c r="P70" s="40">
        <v>0.0</v>
      </c>
      <c r="Q70" s="40">
        <f t="shared" si="3"/>
        <v>0</v>
      </c>
      <c r="R70" s="41">
        <f t="shared" si="4"/>
        <v>1500</v>
      </c>
      <c r="S70" s="42">
        <v>0.0</v>
      </c>
      <c r="T70" s="41">
        <f t="shared" si="10"/>
        <v>0</v>
      </c>
      <c r="U70" s="43">
        <v>0.0</v>
      </c>
      <c r="V70" s="41">
        <v>0.0</v>
      </c>
      <c r="W70" s="41">
        <f t="shared" si="6"/>
        <v>0</v>
      </c>
      <c r="X70" s="45">
        <f t="shared" si="7"/>
        <v>1500</v>
      </c>
      <c r="Y70" s="46">
        <f t="shared" ref="Y70:Y76" si="13">L70-S70</f>
        <v>0</v>
      </c>
      <c r="Z70" s="54">
        <v>0.0</v>
      </c>
    </row>
    <row r="71" ht="20.25" customHeight="1">
      <c r="A71" s="26">
        <v>67.0</v>
      </c>
      <c r="B71" s="155" t="s">
        <v>196</v>
      </c>
      <c r="C71" s="155" t="s">
        <v>176</v>
      </c>
      <c r="D71" s="156" t="s">
        <v>80</v>
      </c>
      <c r="E71" s="68" t="s">
        <v>62</v>
      </c>
      <c r="F71" s="149" t="s">
        <v>81</v>
      </c>
      <c r="G71" s="31">
        <v>31.0</v>
      </c>
      <c r="H71" s="32">
        <v>0.0</v>
      </c>
      <c r="I71" s="33">
        <f t="shared" si="12"/>
        <v>31</v>
      </c>
      <c r="J71" s="34">
        <f t="shared" si="2"/>
        <v>61.29032258</v>
      </c>
      <c r="K71" s="152">
        <v>0.0</v>
      </c>
      <c r="L71" s="58">
        <v>0.0</v>
      </c>
      <c r="M71" s="157">
        <v>1900.0</v>
      </c>
      <c r="N71" s="38">
        <v>0.0</v>
      </c>
      <c r="O71" s="39">
        <v>0.0</v>
      </c>
      <c r="P71" s="40">
        <v>0.0</v>
      </c>
      <c r="Q71" s="40">
        <f t="shared" si="3"/>
        <v>0</v>
      </c>
      <c r="R71" s="41">
        <f t="shared" si="4"/>
        <v>1900</v>
      </c>
      <c r="S71" s="42">
        <v>0.0</v>
      </c>
      <c r="T71" s="41">
        <f t="shared" si="10"/>
        <v>0</v>
      </c>
      <c r="U71" s="43">
        <v>0.0</v>
      </c>
      <c r="V71" s="41">
        <v>0.0</v>
      </c>
      <c r="W71" s="41">
        <f t="shared" si="6"/>
        <v>0</v>
      </c>
      <c r="X71" s="45">
        <f t="shared" si="7"/>
        <v>1900</v>
      </c>
      <c r="Y71" s="46">
        <f t="shared" si="13"/>
        <v>0</v>
      </c>
      <c r="Z71" s="54">
        <v>0.0</v>
      </c>
    </row>
    <row r="72" ht="20.25" customHeight="1">
      <c r="A72" s="26">
        <v>68.0</v>
      </c>
      <c r="B72" s="155" t="s">
        <v>197</v>
      </c>
      <c r="C72" s="155" t="s">
        <v>198</v>
      </c>
      <c r="D72" s="156" t="s">
        <v>74</v>
      </c>
      <c r="E72" s="68" t="s">
        <v>62</v>
      </c>
      <c r="F72" s="149" t="s">
        <v>81</v>
      </c>
      <c r="G72" s="31">
        <v>31.0</v>
      </c>
      <c r="H72" s="32">
        <v>0.0</v>
      </c>
      <c r="I72" s="33">
        <f t="shared" si="12"/>
        <v>31</v>
      </c>
      <c r="J72" s="34">
        <f t="shared" si="2"/>
        <v>48.38709677</v>
      </c>
      <c r="K72" s="152">
        <v>0.0</v>
      </c>
      <c r="L72" s="58">
        <v>0.0</v>
      </c>
      <c r="M72" s="157">
        <v>1500.0</v>
      </c>
      <c r="N72" s="38">
        <v>0.0</v>
      </c>
      <c r="O72" s="39">
        <v>0.0</v>
      </c>
      <c r="P72" s="40">
        <v>0.0</v>
      </c>
      <c r="Q72" s="40">
        <f t="shared" si="3"/>
        <v>0</v>
      </c>
      <c r="R72" s="41">
        <f t="shared" si="4"/>
        <v>1500</v>
      </c>
      <c r="S72" s="42">
        <v>0.0</v>
      </c>
      <c r="T72" s="41">
        <f t="shared" si="10"/>
        <v>0</v>
      </c>
      <c r="U72" s="43">
        <v>0.0</v>
      </c>
      <c r="V72" s="41">
        <v>0.0</v>
      </c>
      <c r="W72" s="41">
        <f t="shared" si="6"/>
        <v>0</v>
      </c>
      <c r="X72" s="45">
        <f t="shared" si="7"/>
        <v>1500</v>
      </c>
      <c r="Y72" s="46">
        <f t="shared" si="13"/>
        <v>0</v>
      </c>
      <c r="Z72" s="54">
        <v>0.0</v>
      </c>
    </row>
    <row r="73" ht="20.25" customHeight="1">
      <c r="A73" s="26">
        <v>69.0</v>
      </c>
      <c r="B73" s="155" t="s">
        <v>199</v>
      </c>
      <c r="C73" s="155" t="s">
        <v>200</v>
      </c>
      <c r="D73" s="156" t="s">
        <v>74</v>
      </c>
      <c r="E73" s="68" t="s">
        <v>62</v>
      </c>
      <c r="F73" s="149" t="s">
        <v>81</v>
      </c>
      <c r="G73" s="31">
        <v>31.0</v>
      </c>
      <c r="H73" s="32">
        <v>0.0</v>
      </c>
      <c r="I73" s="33">
        <f t="shared" si="12"/>
        <v>31</v>
      </c>
      <c r="J73" s="34">
        <f t="shared" si="2"/>
        <v>58.06451613</v>
      </c>
      <c r="K73" s="152">
        <v>0.0</v>
      </c>
      <c r="L73" s="58">
        <v>0.0</v>
      </c>
      <c r="M73" s="157">
        <v>1800.0</v>
      </c>
      <c r="N73" s="38">
        <v>0.0</v>
      </c>
      <c r="O73" s="39">
        <v>0.0</v>
      </c>
      <c r="P73" s="40">
        <v>0.0</v>
      </c>
      <c r="Q73" s="40">
        <f t="shared" si="3"/>
        <v>0</v>
      </c>
      <c r="R73" s="41">
        <f t="shared" si="4"/>
        <v>1800</v>
      </c>
      <c r="S73" s="42">
        <v>0.0</v>
      </c>
      <c r="T73" s="41">
        <f t="shared" si="10"/>
        <v>0</v>
      </c>
      <c r="U73" s="43">
        <v>0.0</v>
      </c>
      <c r="V73" s="41">
        <v>0.0</v>
      </c>
      <c r="W73" s="41">
        <f t="shared" si="6"/>
        <v>0</v>
      </c>
      <c r="X73" s="45">
        <f t="shared" si="7"/>
        <v>1800</v>
      </c>
      <c r="Y73" s="46">
        <f t="shared" si="13"/>
        <v>0</v>
      </c>
      <c r="Z73" s="54">
        <v>0.0</v>
      </c>
    </row>
    <row r="74" ht="20.25" customHeight="1">
      <c r="A74" s="26">
        <v>70.0</v>
      </c>
      <c r="B74" s="155" t="s">
        <v>201</v>
      </c>
      <c r="C74" s="155" t="s">
        <v>200</v>
      </c>
      <c r="D74" s="156" t="s">
        <v>80</v>
      </c>
      <c r="E74" s="68" t="s">
        <v>62</v>
      </c>
      <c r="F74" s="149" t="s">
        <v>81</v>
      </c>
      <c r="G74" s="31">
        <v>31.0</v>
      </c>
      <c r="H74" s="32">
        <v>0.0</v>
      </c>
      <c r="I74" s="33">
        <f t="shared" si="12"/>
        <v>31</v>
      </c>
      <c r="J74" s="34">
        <f t="shared" si="2"/>
        <v>70.96774194</v>
      </c>
      <c r="K74" s="152">
        <v>0.0</v>
      </c>
      <c r="L74" s="58">
        <v>0.0</v>
      </c>
      <c r="M74" s="53">
        <v>2200.0</v>
      </c>
      <c r="N74" s="38">
        <v>0.0</v>
      </c>
      <c r="O74" s="39">
        <v>0.0</v>
      </c>
      <c r="P74" s="40">
        <v>0.0</v>
      </c>
      <c r="Q74" s="40">
        <f t="shared" si="3"/>
        <v>0</v>
      </c>
      <c r="R74" s="41">
        <f t="shared" si="4"/>
        <v>2200</v>
      </c>
      <c r="S74" s="42">
        <v>0.0</v>
      </c>
      <c r="T74" s="41">
        <f t="shared" si="10"/>
        <v>0</v>
      </c>
      <c r="U74" s="43">
        <v>0.0</v>
      </c>
      <c r="V74" s="41">
        <v>0.0</v>
      </c>
      <c r="W74" s="41">
        <f t="shared" si="6"/>
        <v>0</v>
      </c>
      <c r="X74" s="45">
        <f t="shared" si="7"/>
        <v>2200</v>
      </c>
      <c r="Y74" s="46">
        <f t="shared" si="13"/>
        <v>0</v>
      </c>
      <c r="Z74" s="54">
        <v>0.0</v>
      </c>
    </row>
    <row r="75" ht="20.25" customHeight="1">
      <c r="A75" s="26">
        <v>71.0</v>
      </c>
      <c r="B75" s="155" t="s">
        <v>202</v>
      </c>
      <c r="C75" s="155" t="s">
        <v>203</v>
      </c>
      <c r="D75" s="156" t="s">
        <v>88</v>
      </c>
      <c r="E75" s="68" t="s">
        <v>62</v>
      </c>
      <c r="F75" s="149" t="s">
        <v>81</v>
      </c>
      <c r="G75" s="31">
        <v>31.0</v>
      </c>
      <c r="H75" s="32">
        <v>0.0</v>
      </c>
      <c r="I75" s="33">
        <f t="shared" si="12"/>
        <v>31</v>
      </c>
      <c r="J75" s="34">
        <f t="shared" si="2"/>
        <v>48.38709677</v>
      </c>
      <c r="K75" s="69">
        <v>0.0</v>
      </c>
      <c r="L75" s="65">
        <v>0.0</v>
      </c>
      <c r="M75" s="53">
        <v>1500.0</v>
      </c>
      <c r="N75" s="38">
        <v>0.0</v>
      </c>
      <c r="O75" s="39">
        <v>0.0</v>
      </c>
      <c r="P75" s="40">
        <v>0.0</v>
      </c>
      <c r="Q75" s="40">
        <f t="shared" si="3"/>
        <v>0</v>
      </c>
      <c r="R75" s="41">
        <f t="shared" si="4"/>
        <v>1500</v>
      </c>
      <c r="S75" s="42">
        <v>0.0</v>
      </c>
      <c r="T75" s="41">
        <f t="shared" si="10"/>
        <v>0</v>
      </c>
      <c r="U75" s="43">
        <v>0.0</v>
      </c>
      <c r="V75" s="41">
        <v>0.0</v>
      </c>
      <c r="W75" s="41">
        <f t="shared" si="6"/>
        <v>0</v>
      </c>
      <c r="X75" s="45">
        <f t="shared" si="7"/>
        <v>1100</v>
      </c>
      <c r="Y75" s="46">
        <f t="shared" si="13"/>
        <v>0</v>
      </c>
      <c r="Z75" s="54">
        <v>400.0</v>
      </c>
    </row>
    <row r="76" ht="20.25" customHeight="1">
      <c r="A76" s="26">
        <v>72.0</v>
      </c>
      <c r="B76" s="155" t="s">
        <v>204</v>
      </c>
      <c r="C76" s="155" t="s">
        <v>205</v>
      </c>
      <c r="D76" s="156" t="s">
        <v>112</v>
      </c>
      <c r="E76" s="68" t="s">
        <v>42</v>
      </c>
      <c r="F76" s="149" t="s">
        <v>81</v>
      </c>
      <c r="G76" s="31">
        <v>31.0</v>
      </c>
      <c r="H76" s="32">
        <v>0.0</v>
      </c>
      <c r="I76" s="33">
        <f t="shared" si="12"/>
        <v>31</v>
      </c>
      <c r="J76" s="34">
        <f t="shared" si="2"/>
        <v>61.29032258</v>
      </c>
      <c r="K76" s="69">
        <v>0.0</v>
      </c>
      <c r="L76" s="58">
        <v>200.0</v>
      </c>
      <c r="M76" s="53">
        <v>1900.0</v>
      </c>
      <c r="N76" s="38">
        <v>0.0</v>
      </c>
      <c r="O76" s="39">
        <v>0.0</v>
      </c>
      <c r="P76" s="40">
        <v>0.0</v>
      </c>
      <c r="Q76" s="40">
        <f t="shared" si="3"/>
        <v>0</v>
      </c>
      <c r="R76" s="41">
        <f t="shared" si="4"/>
        <v>1900</v>
      </c>
      <c r="S76" s="42">
        <v>200.0</v>
      </c>
      <c r="T76" s="41">
        <f t="shared" si="10"/>
        <v>0</v>
      </c>
      <c r="U76" s="43">
        <v>0.0</v>
      </c>
      <c r="V76" s="41">
        <v>0.0</v>
      </c>
      <c r="W76" s="41">
        <f t="shared" si="6"/>
        <v>200</v>
      </c>
      <c r="X76" s="45">
        <f t="shared" si="7"/>
        <v>1700</v>
      </c>
      <c r="Y76" s="46">
        <f t="shared" si="13"/>
        <v>0</v>
      </c>
      <c r="Z76" s="54">
        <v>0.0</v>
      </c>
    </row>
    <row r="77" ht="20.25" customHeight="1">
      <c r="A77" s="26">
        <v>73.0</v>
      </c>
      <c r="B77" s="155" t="s">
        <v>206</v>
      </c>
      <c r="C77" s="155" t="s">
        <v>207</v>
      </c>
      <c r="D77" s="156" t="s">
        <v>152</v>
      </c>
      <c r="E77" s="68" t="s">
        <v>62</v>
      </c>
      <c r="F77" s="149" t="s">
        <v>81</v>
      </c>
      <c r="G77" s="31">
        <v>31.0</v>
      </c>
      <c r="H77" s="32">
        <v>0.0</v>
      </c>
      <c r="I77" s="33">
        <f t="shared" si="12"/>
        <v>31</v>
      </c>
      <c r="J77" s="34">
        <f t="shared" si="2"/>
        <v>48.38709677</v>
      </c>
      <c r="K77" s="69">
        <v>0.0</v>
      </c>
      <c r="L77" s="58">
        <v>0.0</v>
      </c>
      <c r="M77" s="70">
        <v>1500.0</v>
      </c>
      <c r="N77" s="38">
        <v>0.0</v>
      </c>
      <c r="O77" s="39">
        <v>0.0</v>
      </c>
      <c r="P77" s="40">
        <v>0.0</v>
      </c>
      <c r="Q77" s="40">
        <f t="shared" si="3"/>
        <v>0</v>
      </c>
      <c r="R77" s="41">
        <f t="shared" si="4"/>
        <v>1500</v>
      </c>
      <c r="S77" s="42">
        <v>0.0</v>
      </c>
      <c r="T77" s="41">
        <f t="shared" si="10"/>
        <v>0</v>
      </c>
      <c r="U77" s="43">
        <v>0.0</v>
      </c>
      <c r="V77" s="53">
        <v>0.0</v>
      </c>
      <c r="W77" s="41">
        <f t="shared" si="6"/>
        <v>0</v>
      </c>
      <c r="X77" s="45">
        <f t="shared" si="7"/>
        <v>1500</v>
      </c>
      <c r="Y77" s="46"/>
      <c r="Z77" s="54">
        <v>0.0</v>
      </c>
    </row>
    <row r="78" ht="20.25" customHeight="1">
      <c r="A78" s="158"/>
      <c r="D78" s="159"/>
      <c r="H78" s="2"/>
      <c r="S78" s="42"/>
      <c r="X78" s="45">
        <f>+R78-W78</f>
        <v>0</v>
      </c>
      <c r="Y78" s="46">
        <f>L78-S78</f>
        <v>0</v>
      </c>
      <c r="Z78" s="160"/>
    </row>
    <row r="79" ht="20.25" customHeight="1">
      <c r="A79" s="161" t="s">
        <v>208</v>
      </c>
      <c r="B79" s="14"/>
      <c r="C79" s="14"/>
      <c r="D79" s="14"/>
      <c r="E79" s="14"/>
      <c r="F79" s="14"/>
      <c r="G79" s="14"/>
      <c r="H79" s="14"/>
      <c r="I79" s="14"/>
      <c r="J79" s="15"/>
      <c r="K79" s="162"/>
      <c r="L79" s="163">
        <f t="shared" ref="L79:N79" si="14">SUM(L7:L77)</f>
        <v>137560</v>
      </c>
      <c r="M79" s="164">
        <f t="shared" si="14"/>
        <v>149200</v>
      </c>
      <c r="N79" s="164">
        <f t="shared" si="14"/>
        <v>0</v>
      </c>
      <c r="O79" s="164">
        <f t="shared" ref="O79:Q79" si="15">SUM(O7:O78)</f>
        <v>600</v>
      </c>
      <c r="P79" s="164">
        <f t="shared" si="15"/>
        <v>0</v>
      </c>
      <c r="Q79" s="164">
        <f t="shared" si="15"/>
        <v>0</v>
      </c>
      <c r="R79" s="164">
        <f t="shared" ref="R79:Y79" si="16">SUM(R7:R77)</f>
        <v>149800</v>
      </c>
      <c r="S79" s="165">
        <f t="shared" si="16"/>
        <v>16644</v>
      </c>
      <c r="T79" s="164">
        <f t="shared" si="16"/>
        <v>9816.129032</v>
      </c>
      <c r="U79" s="164">
        <f t="shared" si="16"/>
        <v>0</v>
      </c>
      <c r="V79" s="164">
        <f t="shared" si="16"/>
        <v>200</v>
      </c>
      <c r="W79" s="164">
        <f t="shared" si="16"/>
        <v>26660.12903</v>
      </c>
      <c r="X79" s="164">
        <f t="shared" si="16"/>
        <v>94939.87097</v>
      </c>
      <c r="Y79" s="164">
        <f t="shared" si="16"/>
        <v>111416</v>
      </c>
      <c r="Z79" s="160"/>
    </row>
    <row r="80" ht="15.75" customHeight="1">
      <c r="A80" s="158"/>
      <c r="D80" s="159"/>
      <c r="H80" s="49"/>
      <c r="S80" s="158"/>
      <c r="Z80" s="2"/>
    </row>
    <row r="81" ht="6.75" customHeight="1">
      <c r="A81" s="158"/>
      <c r="D81" s="159"/>
      <c r="H81" s="49"/>
      <c r="S81" s="158"/>
      <c r="Z81" s="2"/>
    </row>
    <row r="82" ht="15.75" customHeight="1">
      <c r="A82" s="158"/>
      <c r="D82" s="159"/>
      <c r="H82" s="49"/>
      <c r="S82" s="158"/>
      <c r="Z82" s="2"/>
    </row>
    <row r="83" ht="15.75" customHeight="1">
      <c r="A83" s="166" t="s">
        <v>209</v>
      </c>
      <c r="D83" s="159"/>
      <c r="H83" s="2"/>
      <c r="I83" s="167" t="s">
        <v>210</v>
      </c>
      <c r="S83" s="158"/>
      <c r="V83" s="168" t="s">
        <v>211</v>
      </c>
      <c r="Z83" s="2"/>
    </row>
    <row r="84" ht="15.75" customHeight="1">
      <c r="A84" s="158"/>
      <c r="D84" s="159"/>
      <c r="H84" s="49"/>
      <c r="S84" s="158"/>
      <c r="Z84" s="2"/>
    </row>
    <row r="85" ht="15.75" customHeight="1">
      <c r="A85" s="169" t="s">
        <v>212</v>
      </c>
      <c r="D85" s="159"/>
      <c r="H85" s="49"/>
      <c r="I85" s="170" t="s">
        <v>212</v>
      </c>
      <c r="S85" s="158"/>
      <c r="V85" s="171" t="s">
        <v>213</v>
      </c>
      <c r="Z85" s="2"/>
    </row>
    <row r="86" ht="15.75" customHeight="1">
      <c r="A86" s="172" t="s">
        <v>214</v>
      </c>
      <c r="B86" s="173"/>
      <c r="C86" s="173"/>
      <c r="D86" s="159"/>
      <c r="H86" s="49"/>
      <c r="I86" s="173" t="s">
        <v>215</v>
      </c>
      <c r="J86" s="173"/>
      <c r="K86" s="173"/>
      <c r="L86" s="173"/>
      <c r="M86" s="173"/>
      <c r="S86" s="158"/>
      <c r="V86" s="173" t="s">
        <v>216</v>
      </c>
      <c r="W86" s="173"/>
      <c r="X86" s="173"/>
      <c r="Z86" s="2"/>
    </row>
    <row r="87" ht="15.75" customHeight="1">
      <c r="A87" s="172" t="s">
        <v>217</v>
      </c>
      <c r="B87" s="173"/>
      <c r="C87" s="173"/>
      <c r="D87" s="159"/>
      <c r="H87" s="49"/>
      <c r="I87" s="173" t="s">
        <v>217</v>
      </c>
      <c r="J87" s="173"/>
      <c r="K87" s="173"/>
      <c r="L87" s="173"/>
      <c r="M87" s="173"/>
      <c r="S87" s="158"/>
      <c r="V87" s="173" t="s">
        <v>217</v>
      </c>
      <c r="W87" s="173"/>
      <c r="X87" s="173"/>
      <c r="Z87" s="2"/>
    </row>
    <row r="88" ht="15.75" customHeight="1">
      <c r="A88" s="158"/>
      <c r="D88" s="159"/>
      <c r="H88" s="49"/>
      <c r="S88" s="158"/>
      <c r="Z88" s="2"/>
    </row>
    <row r="89" ht="15.75" customHeight="1">
      <c r="A89" s="158"/>
      <c r="D89" s="159"/>
      <c r="H89" s="49"/>
      <c r="S89" s="158"/>
      <c r="Z89" s="2"/>
    </row>
    <row r="90" ht="15.75" customHeight="1">
      <c r="A90" s="158"/>
      <c r="D90" s="159"/>
      <c r="H90" s="49"/>
      <c r="S90" s="158"/>
      <c r="Z90" s="2"/>
    </row>
    <row r="91" ht="15.75" customHeight="1">
      <c r="A91" s="158"/>
      <c r="D91" s="159"/>
      <c r="H91" s="49"/>
      <c r="S91" s="158"/>
      <c r="Z91" s="2"/>
    </row>
    <row r="92" ht="15.75" customHeight="1">
      <c r="A92" s="158"/>
      <c r="D92" s="159"/>
      <c r="H92" s="49"/>
      <c r="S92" s="158"/>
      <c r="Z92" s="2"/>
    </row>
    <row r="93" ht="15.75" customHeight="1">
      <c r="A93" s="158"/>
      <c r="D93" s="159"/>
      <c r="H93" s="49"/>
      <c r="S93" s="158"/>
      <c r="Z93" s="2"/>
    </row>
    <row r="94" ht="15.75" customHeight="1">
      <c r="A94" s="158"/>
      <c r="D94" s="159"/>
      <c r="H94" s="49"/>
      <c r="S94" s="158"/>
      <c r="Z94" s="2"/>
    </row>
    <row r="95" ht="15.75" customHeight="1">
      <c r="A95" s="158"/>
      <c r="D95" s="159"/>
      <c r="H95" s="49"/>
      <c r="S95" s="158"/>
      <c r="Z95" s="2"/>
    </row>
    <row r="96" ht="15.75" customHeight="1">
      <c r="A96" s="158"/>
      <c r="D96" s="159"/>
      <c r="H96" s="49"/>
      <c r="S96" s="158"/>
      <c r="Z96" s="2"/>
    </row>
    <row r="97" ht="15.75" customHeight="1">
      <c r="A97" s="158"/>
      <c r="D97" s="159"/>
      <c r="H97" s="49"/>
      <c r="S97" s="158"/>
      <c r="Z97" s="2"/>
    </row>
    <row r="98" ht="15.75" customHeight="1">
      <c r="A98" s="158"/>
      <c r="D98" s="159"/>
      <c r="H98" s="49"/>
      <c r="S98" s="158"/>
      <c r="Z98" s="2"/>
    </row>
    <row r="99" ht="15.75" customHeight="1">
      <c r="A99" s="158"/>
      <c r="D99" s="159"/>
      <c r="H99" s="49"/>
      <c r="S99" s="158"/>
      <c r="Z99" s="2"/>
    </row>
    <row r="100" ht="15.75" customHeight="1">
      <c r="A100" s="158"/>
      <c r="D100" s="159"/>
      <c r="H100" s="49"/>
      <c r="S100" s="158"/>
      <c r="Z100" s="2"/>
    </row>
    <row r="101" ht="15.75" customHeight="1">
      <c r="A101" s="158"/>
      <c r="D101" s="159"/>
      <c r="H101" s="49"/>
      <c r="S101" s="158"/>
      <c r="Z101" s="2"/>
    </row>
    <row r="102" ht="15.75" customHeight="1">
      <c r="A102" s="158"/>
      <c r="D102" s="159"/>
      <c r="H102" s="49"/>
      <c r="S102" s="158"/>
      <c r="Z102" s="2"/>
    </row>
    <row r="103" ht="15.75" customHeight="1">
      <c r="A103" s="158"/>
      <c r="D103" s="159"/>
      <c r="H103" s="49"/>
      <c r="S103" s="158"/>
      <c r="Z103" s="2"/>
    </row>
    <row r="104" ht="15.75" customHeight="1">
      <c r="A104" s="158"/>
      <c r="D104" s="159"/>
      <c r="H104" s="49"/>
      <c r="S104" s="158"/>
      <c r="Z104" s="2"/>
    </row>
    <row r="105" ht="15.75" customHeight="1">
      <c r="A105" s="158"/>
      <c r="D105" s="159"/>
      <c r="H105" s="49"/>
      <c r="S105" s="158"/>
      <c r="Z105" s="2"/>
    </row>
    <row r="106" ht="15.75" customHeight="1">
      <c r="A106" s="158"/>
      <c r="D106" s="159"/>
      <c r="H106" s="49"/>
      <c r="S106" s="158"/>
      <c r="Z106" s="2"/>
    </row>
    <row r="107" ht="15.75" customHeight="1">
      <c r="A107" s="158"/>
      <c r="D107" s="159"/>
      <c r="H107" s="49"/>
      <c r="S107" s="158"/>
      <c r="Z107" s="2"/>
    </row>
    <row r="108" ht="15.75" customHeight="1">
      <c r="A108" s="158"/>
      <c r="D108" s="159"/>
      <c r="H108" s="49"/>
      <c r="S108" s="158"/>
      <c r="Z108" s="2"/>
    </row>
    <row r="109" ht="15.75" customHeight="1">
      <c r="A109" s="158"/>
      <c r="D109" s="159"/>
      <c r="H109" s="49"/>
      <c r="S109" s="158"/>
      <c r="Z109" s="2"/>
    </row>
    <row r="110" ht="15.75" customHeight="1">
      <c r="A110" s="158"/>
      <c r="D110" s="159"/>
      <c r="H110" s="49"/>
      <c r="S110" s="158"/>
      <c r="Z110" s="2"/>
    </row>
    <row r="111" ht="15.75" customHeight="1">
      <c r="A111" s="158"/>
      <c r="D111" s="159"/>
      <c r="H111" s="49"/>
      <c r="S111" s="158"/>
      <c r="Z111" s="2"/>
    </row>
    <row r="112" ht="15.75" customHeight="1">
      <c r="A112" s="158"/>
      <c r="D112" s="159"/>
      <c r="H112" s="49"/>
      <c r="S112" s="158"/>
      <c r="Z112" s="2"/>
    </row>
    <row r="113" ht="15.75" customHeight="1">
      <c r="A113" s="158"/>
      <c r="D113" s="159"/>
      <c r="H113" s="49"/>
      <c r="S113" s="158"/>
      <c r="Z113" s="2"/>
    </row>
    <row r="114" ht="15.75" customHeight="1">
      <c r="A114" s="158"/>
      <c r="D114" s="159"/>
      <c r="H114" s="49"/>
      <c r="S114" s="158"/>
      <c r="Z114" s="2"/>
    </row>
    <row r="115" ht="15.75" customHeight="1">
      <c r="A115" s="158"/>
      <c r="D115" s="159"/>
      <c r="H115" s="49"/>
      <c r="S115" s="158"/>
      <c r="Z115" s="2"/>
    </row>
    <row r="116" ht="15.75" customHeight="1">
      <c r="A116" s="158"/>
      <c r="D116" s="159"/>
      <c r="H116" s="49"/>
      <c r="S116" s="158"/>
      <c r="Z116" s="2"/>
    </row>
    <row r="117" ht="15.75" customHeight="1">
      <c r="A117" s="158"/>
      <c r="D117" s="159"/>
      <c r="H117" s="49"/>
      <c r="S117" s="158"/>
      <c r="Z117" s="2"/>
    </row>
    <row r="118" ht="15.75" customHeight="1">
      <c r="A118" s="158"/>
      <c r="D118" s="159"/>
      <c r="H118" s="49"/>
      <c r="S118" s="158"/>
      <c r="Z118" s="2"/>
    </row>
    <row r="119" ht="15.75" customHeight="1">
      <c r="A119" s="158"/>
      <c r="D119" s="159"/>
      <c r="H119" s="49"/>
      <c r="S119" s="158"/>
      <c r="Z119" s="2"/>
    </row>
    <row r="120" ht="15.75" customHeight="1">
      <c r="A120" s="158"/>
      <c r="D120" s="159"/>
      <c r="H120" s="49"/>
      <c r="S120" s="158"/>
      <c r="Z120" s="2"/>
    </row>
    <row r="121" ht="15.75" customHeight="1">
      <c r="A121" s="158"/>
      <c r="D121" s="159"/>
      <c r="H121" s="49"/>
      <c r="S121" s="158"/>
      <c r="Z121" s="2"/>
    </row>
    <row r="122" ht="15.75" customHeight="1">
      <c r="A122" s="158"/>
      <c r="D122" s="159"/>
      <c r="H122" s="49"/>
      <c r="S122" s="158"/>
      <c r="Z122" s="2"/>
    </row>
    <row r="123" ht="15.75" customHeight="1">
      <c r="A123" s="158"/>
      <c r="D123" s="159"/>
      <c r="H123" s="49"/>
      <c r="S123" s="158"/>
      <c r="Z123" s="2"/>
    </row>
    <row r="124" ht="15.75" customHeight="1">
      <c r="A124" s="158"/>
      <c r="D124" s="159"/>
      <c r="H124" s="49"/>
      <c r="S124" s="158"/>
      <c r="Z124" s="2"/>
    </row>
    <row r="125" ht="15.75" customHeight="1">
      <c r="A125" s="158"/>
      <c r="D125" s="159"/>
      <c r="H125" s="49"/>
      <c r="S125" s="158"/>
      <c r="Z125" s="2"/>
    </row>
    <row r="126" ht="15.75" customHeight="1">
      <c r="A126" s="158"/>
      <c r="D126" s="159"/>
      <c r="H126" s="49"/>
      <c r="S126" s="158"/>
      <c r="Z126" s="2"/>
    </row>
    <row r="127" ht="15.75" customHeight="1">
      <c r="A127" s="158"/>
      <c r="D127" s="159"/>
      <c r="H127" s="49"/>
      <c r="S127" s="158"/>
      <c r="Z127" s="2"/>
    </row>
    <row r="128" ht="15.75" customHeight="1">
      <c r="A128" s="158"/>
      <c r="D128" s="159"/>
      <c r="H128" s="49"/>
      <c r="S128" s="158"/>
      <c r="Z128" s="2"/>
    </row>
    <row r="129" ht="15.75" customHeight="1">
      <c r="A129" s="158"/>
      <c r="D129" s="159"/>
      <c r="H129" s="49"/>
      <c r="S129" s="158"/>
      <c r="Z129" s="2"/>
    </row>
    <row r="130" ht="15.75" customHeight="1">
      <c r="A130" s="158"/>
      <c r="D130" s="159"/>
      <c r="H130" s="49"/>
      <c r="S130" s="158"/>
      <c r="Z130" s="2"/>
    </row>
    <row r="131" ht="15.75" customHeight="1">
      <c r="A131" s="158"/>
      <c r="D131" s="159"/>
      <c r="H131" s="49"/>
      <c r="S131" s="158"/>
      <c r="Z131" s="2"/>
    </row>
    <row r="132" ht="15.75" customHeight="1">
      <c r="A132" s="158"/>
      <c r="D132" s="159"/>
      <c r="H132" s="49"/>
      <c r="S132" s="158"/>
      <c r="Z132" s="2"/>
    </row>
    <row r="133" ht="15.75" customHeight="1">
      <c r="A133" s="158"/>
      <c r="D133" s="159"/>
      <c r="H133" s="49"/>
      <c r="S133" s="158"/>
      <c r="Z133" s="2"/>
    </row>
    <row r="134" ht="15.75" customHeight="1">
      <c r="A134" s="158"/>
      <c r="D134" s="159"/>
      <c r="H134" s="49"/>
      <c r="S134" s="158"/>
      <c r="Z134" s="2"/>
    </row>
    <row r="135" ht="15.75" customHeight="1">
      <c r="A135" s="158"/>
      <c r="D135" s="159"/>
      <c r="H135" s="49"/>
      <c r="S135" s="158"/>
      <c r="Z135" s="2"/>
    </row>
    <row r="136" ht="15.75" customHeight="1">
      <c r="A136" s="158"/>
      <c r="D136" s="159"/>
      <c r="H136" s="49"/>
      <c r="S136" s="158"/>
      <c r="Z136" s="2"/>
    </row>
    <row r="137" ht="15.75" customHeight="1">
      <c r="A137" s="158"/>
      <c r="D137" s="159"/>
      <c r="H137" s="49"/>
      <c r="S137" s="158"/>
      <c r="Z137" s="2"/>
    </row>
    <row r="138" ht="15.75" customHeight="1">
      <c r="A138" s="158"/>
      <c r="D138" s="159"/>
      <c r="H138" s="49"/>
      <c r="S138" s="158"/>
      <c r="Z138" s="2"/>
    </row>
    <row r="139" ht="15.75" customHeight="1">
      <c r="A139" s="158"/>
      <c r="D139" s="159"/>
      <c r="H139" s="49"/>
      <c r="S139" s="158"/>
      <c r="Z139" s="2"/>
    </row>
    <row r="140" ht="15.75" customHeight="1">
      <c r="A140" s="158"/>
      <c r="D140" s="159"/>
      <c r="H140" s="49"/>
      <c r="S140" s="158"/>
      <c r="Z140" s="2"/>
    </row>
    <row r="141" ht="15.75" customHeight="1">
      <c r="A141" s="158"/>
      <c r="D141" s="159"/>
      <c r="H141" s="49"/>
      <c r="S141" s="158"/>
      <c r="Z141" s="2"/>
    </row>
    <row r="142" ht="15.75" customHeight="1">
      <c r="A142" s="158"/>
      <c r="D142" s="159"/>
      <c r="H142" s="49"/>
      <c r="S142" s="158"/>
      <c r="Z142" s="2"/>
    </row>
    <row r="143" ht="15.75" customHeight="1">
      <c r="A143" s="158"/>
      <c r="D143" s="159"/>
      <c r="H143" s="49"/>
      <c r="S143" s="158"/>
      <c r="Z143" s="2"/>
    </row>
    <row r="144" ht="15.75" customHeight="1">
      <c r="A144" s="158"/>
      <c r="D144" s="159"/>
      <c r="H144" s="49"/>
      <c r="S144" s="158"/>
      <c r="Z144" s="2"/>
    </row>
    <row r="145" ht="15.75" customHeight="1">
      <c r="A145" s="158"/>
      <c r="D145" s="159"/>
      <c r="H145" s="49"/>
      <c r="S145" s="158"/>
      <c r="Z145" s="2"/>
    </row>
    <row r="146" ht="15.75" customHeight="1">
      <c r="A146" s="158"/>
      <c r="D146" s="159"/>
      <c r="H146" s="49"/>
      <c r="S146" s="158"/>
      <c r="Z146" s="2"/>
    </row>
    <row r="147" ht="15.75" customHeight="1">
      <c r="A147" s="158"/>
      <c r="D147" s="159"/>
      <c r="H147" s="49"/>
      <c r="S147" s="158"/>
      <c r="Z147" s="2"/>
    </row>
    <row r="148" ht="15.75" customHeight="1">
      <c r="A148" s="158"/>
      <c r="D148" s="159"/>
      <c r="H148" s="49"/>
      <c r="S148" s="158"/>
      <c r="Z148" s="2"/>
    </row>
    <row r="149" ht="15.75" customHeight="1">
      <c r="A149" s="158"/>
      <c r="D149" s="159"/>
      <c r="H149" s="49"/>
      <c r="S149" s="158"/>
      <c r="Z149" s="2"/>
    </row>
    <row r="150" ht="15.75" customHeight="1">
      <c r="A150" s="158"/>
      <c r="D150" s="159"/>
      <c r="H150" s="49"/>
      <c r="S150" s="158"/>
      <c r="Z150" s="2"/>
    </row>
    <row r="151" ht="15.75" customHeight="1">
      <c r="A151" s="158"/>
      <c r="D151" s="159"/>
      <c r="H151" s="49"/>
      <c r="S151" s="158"/>
      <c r="Z151" s="2"/>
    </row>
    <row r="152" ht="15.75" customHeight="1">
      <c r="A152" s="158"/>
      <c r="D152" s="159"/>
      <c r="H152" s="49"/>
      <c r="S152" s="158"/>
      <c r="Z152" s="2"/>
    </row>
    <row r="153" ht="15.75" customHeight="1">
      <c r="A153" s="158"/>
      <c r="D153" s="159"/>
      <c r="H153" s="49"/>
      <c r="S153" s="158"/>
      <c r="Z153" s="2"/>
    </row>
    <row r="154" ht="15.75" customHeight="1">
      <c r="A154" s="158"/>
      <c r="D154" s="159"/>
      <c r="H154" s="49"/>
      <c r="S154" s="158"/>
      <c r="Z154" s="2"/>
    </row>
    <row r="155" ht="15.75" customHeight="1">
      <c r="A155" s="158"/>
      <c r="D155" s="159"/>
      <c r="H155" s="49"/>
      <c r="S155" s="158"/>
      <c r="Z155" s="2"/>
    </row>
    <row r="156" ht="15.75" customHeight="1">
      <c r="A156" s="158"/>
      <c r="D156" s="159"/>
      <c r="H156" s="49"/>
      <c r="S156" s="158"/>
      <c r="Z156" s="2"/>
    </row>
    <row r="157" ht="15.75" customHeight="1">
      <c r="A157" s="158"/>
      <c r="D157" s="159"/>
      <c r="H157" s="49"/>
      <c r="S157" s="158"/>
      <c r="Z157" s="2"/>
    </row>
    <row r="158" ht="15.75" customHeight="1">
      <c r="A158" s="158"/>
      <c r="D158" s="159"/>
      <c r="H158" s="49"/>
      <c r="S158" s="158"/>
      <c r="Z158" s="2"/>
    </row>
    <row r="159" ht="15.75" customHeight="1">
      <c r="A159" s="158"/>
      <c r="D159" s="159"/>
      <c r="H159" s="49"/>
      <c r="S159" s="158"/>
      <c r="Z159" s="2"/>
    </row>
    <row r="160" ht="15.75" customHeight="1">
      <c r="A160" s="158"/>
      <c r="D160" s="159"/>
      <c r="H160" s="49"/>
      <c r="S160" s="158"/>
      <c r="Z160" s="2"/>
    </row>
    <row r="161" ht="15.75" customHeight="1">
      <c r="A161" s="158"/>
      <c r="D161" s="159"/>
      <c r="H161" s="49"/>
      <c r="S161" s="158"/>
      <c r="Z161" s="2"/>
    </row>
    <row r="162" ht="15.75" customHeight="1">
      <c r="A162" s="158"/>
      <c r="D162" s="159"/>
      <c r="H162" s="49"/>
      <c r="S162" s="158"/>
      <c r="Z162" s="2"/>
    </row>
    <row r="163" ht="15.75" customHeight="1">
      <c r="A163" s="158"/>
      <c r="D163" s="159"/>
      <c r="H163" s="49"/>
      <c r="S163" s="158"/>
      <c r="Z163" s="2"/>
    </row>
    <row r="164" ht="15.75" customHeight="1">
      <c r="A164" s="158"/>
      <c r="D164" s="159"/>
      <c r="H164" s="49"/>
      <c r="S164" s="158"/>
      <c r="Z164" s="2"/>
    </row>
    <row r="165" ht="15.75" customHeight="1">
      <c r="A165" s="158"/>
      <c r="D165" s="159"/>
      <c r="H165" s="49"/>
      <c r="S165" s="158"/>
      <c r="Z165" s="2"/>
    </row>
    <row r="166" ht="15.75" customHeight="1">
      <c r="A166" s="158"/>
      <c r="D166" s="159"/>
      <c r="H166" s="49"/>
      <c r="S166" s="158"/>
      <c r="Z166" s="2"/>
    </row>
    <row r="167" ht="15.75" customHeight="1">
      <c r="A167" s="158"/>
      <c r="D167" s="159"/>
      <c r="H167" s="49"/>
      <c r="S167" s="158"/>
      <c r="Z167" s="2"/>
    </row>
    <row r="168" ht="15.75" customHeight="1">
      <c r="A168" s="158"/>
      <c r="D168" s="159"/>
      <c r="H168" s="49"/>
      <c r="S168" s="158"/>
      <c r="Z168" s="2"/>
    </row>
    <row r="169" ht="15.75" customHeight="1">
      <c r="A169" s="158"/>
      <c r="D169" s="159"/>
      <c r="H169" s="49"/>
      <c r="S169" s="158"/>
      <c r="Z169" s="2"/>
    </row>
    <row r="170" ht="15.75" customHeight="1">
      <c r="A170" s="158"/>
      <c r="D170" s="159"/>
      <c r="H170" s="49"/>
      <c r="S170" s="158"/>
      <c r="Z170" s="2"/>
    </row>
    <row r="171" ht="15.75" customHeight="1">
      <c r="A171" s="158"/>
      <c r="D171" s="159"/>
      <c r="H171" s="49"/>
      <c r="S171" s="158"/>
      <c r="Z171" s="2"/>
    </row>
    <row r="172" ht="15.75" customHeight="1">
      <c r="A172" s="158"/>
      <c r="D172" s="159"/>
      <c r="H172" s="49"/>
      <c r="S172" s="158"/>
      <c r="Z172" s="2"/>
    </row>
    <row r="173" ht="15.75" customHeight="1">
      <c r="A173" s="158"/>
      <c r="D173" s="159"/>
      <c r="H173" s="49"/>
      <c r="S173" s="158"/>
      <c r="Z173" s="2"/>
    </row>
    <row r="174" ht="15.75" customHeight="1">
      <c r="A174" s="158"/>
      <c r="D174" s="159"/>
      <c r="H174" s="49"/>
      <c r="S174" s="158"/>
      <c r="Z174" s="2"/>
    </row>
    <row r="175" ht="15.75" customHeight="1">
      <c r="A175" s="158"/>
      <c r="D175" s="159"/>
      <c r="H175" s="49"/>
      <c r="S175" s="158"/>
      <c r="Z175" s="2"/>
    </row>
    <row r="176" ht="15.75" customHeight="1">
      <c r="A176" s="158"/>
      <c r="D176" s="159"/>
      <c r="H176" s="49"/>
      <c r="S176" s="158"/>
      <c r="Z176" s="2"/>
    </row>
    <row r="177" ht="15.75" customHeight="1">
      <c r="A177" s="158"/>
      <c r="D177" s="159"/>
      <c r="H177" s="49"/>
      <c r="S177" s="158"/>
      <c r="Z177" s="2"/>
    </row>
    <row r="178" ht="15.75" customHeight="1">
      <c r="A178" s="158"/>
      <c r="D178" s="159"/>
      <c r="H178" s="49"/>
      <c r="S178" s="158"/>
      <c r="Z178" s="2"/>
    </row>
    <row r="179" ht="15.75" customHeight="1">
      <c r="A179" s="158"/>
      <c r="D179" s="159"/>
      <c r="H179" s="49"/>
      <c r="S179" s="158"/>
      <c r="Z179" s="2"/>
    </row>
    <row r="180" ht="15.75" customHeight="1">
      <c r="A180" s="158"/>
      <c r="D180" s="159"/>
      <c r="H180" s="49"/>
      <c r="S180" s="158"/>
      <c r="Z180" s="2"/>
    </row>
    <row r="181" ht="15.75" customHeight="1">
      <c r="A181" s="158"/>
      <c r="D181" s="159"/>
      <c r="H181" s="49"/>
      <c r="S181" s="158"/>
      <c r="Z181" s="2"/>
    </row>
    <row r="182" ht="15.75" customHeight="1">
      <c r="A182" s="158"/>
      <c r="D182" s="159"/>
      <c r="H182" s="49"/>
      <c r="S182" s="158"/>
      <c r="Z182" s="2"/>
    </row>
    <row r="183" ht="15.75" customHeight="1">
      <c r="A183" s="158"/>
      <c r="D183" s="159"/>
      <c r="H183" s="49"/>
      <c r="S183" s="158"/>
      <c r="Z183" s="2"/>
    </row>
    <row r="184" ht="15.75" customHeight="1">
      <c r="A184" s="158"/>
      <c r="D184" s="159"/>
      <c r="H184" s="49"/>
      <c r="S184" s="158"/>
      <c r="Z184" s="2"/>
    </row>
    <row r="185" ht="15.75" customHeight="1">
      <c r="A185" s="158"/>
      <c r="D185" s="159"/>
      <c r="H185" s="49"/>
      <c r="S185" s="158"/>
      <c r="Z185" s="2"/>
    </row>
    <row r="186" ht="15.75" customHeight="1">
      <c r="A186" s="158"/>
      <c r="D186" s="159"/>
      <c r="H186" s="49"/>
      <c r="S186" s="158"/>
      <c r="Z186" s="2"/>
    </row>
    <row r="187" ht="15.75" customHeight="1">
      <c r="A187" s="158"/>
      <c r="D187" s="159"/>
      <c r="H187" s="49"/>
      <c r="S187" s="158"/>
      <c r="Z187" s="2"/>
    </row>
    <row r="188" ht="15.75" customHeight="1">
      <c r="A188" s="158"/>
      <c r="D188" s="159"/>
      <c r="H188" s="49"/>
      <c r="S188" s="158"/>
      <c r="Z188" s="2"/>
    </row>
    <row r="189" ht="15.75" customHeight="1">
      <c r="A189" s="158"/>
      <c r="D189" s="159"/>
      <c r="H189" s="49"/>
      <c r="S189" s="158"/>
      <c r="Z189" s="2"/>
    </row>
    <row r="190" ht="15.75" customHeight="1">
      <c r="A190" s="158"/>
      <c r="D190" s="159"/>
      <c r="H190" s="49"/>
      <c r="S190" s="158"/>
      <c r="Z190" s="2"/>
    </row>
    <row r="191" ht="15.75" customHeight="1">
      <c r="A191" s="158"/>
      <c r="D191" s="159"/>
      <c r="H191" s="49"/>
      <c r="S191" s="158"/>
      <c r="Z191" s="2"/>
    </row>
    <row r="192" ht="15.75" customHeight="1">
      <c r="A192" s="158"/>
      <c r="D192" s="159"/>
      <c r="H192" s="49"/>
      <c r="S192" s="158"/>
      <c r="Z192" s="2"/>
    </row>
    <row r="193" ht="15.75" customHeight="1">
      <c r="A193" s="158"/>
      <c r="D193" s="159"/>
      <c r="H193" s="49"/>
      <c r="S193" s="158"/>
      <c r="Z193" s="2"/>
    </row>
    <row r="194" ht="15.75" customHeight="1">
      <c r="A194" s="158"/>
      <c r="D194" s="159"/>
      <c r="H194" s="49"/>
      <c r="S194" s="158"/>
      <c r="Z194" s="2"/>
    </row>
    <row r="195" ht="15.75" customHeight="1">
      <c r="A195" s="158"/>
      <c r="D195" s="159"/>
      <c r="H195" s="49"/>
      <c r="S195" s="158"/>
      <c r="Z195" s="2"/>
    </row>
    <row r="196" ht="15.75" customHeight="1">
      <c r="A196" s="158"/>
      <c r="D196" s="159"/>
      <c r="H196" s="49"/>
      <c r="S196" s="158"/>
      <c r="Z196" s="2"/>
    </row>
    <row r="197" ht="15.75" customHeight="1">
      <c r="A197" s="158"/>
      <c r="D197" s="159"/>
      <c r="H197" s="49"/>
      <c r="S197" s="158"/>
      <c r="Z197" s="2"/>
    </row>
    <row r="198" ht="15.75" customHeight="1">
      <c r="A198" s="158"/>
      <c r="D198" s="159"/>
      <c r="H198" s="49"/>
      <c r="S198" s="158"/>
      <c r="Z198" s="2"/>
    </row>
    <row r="199" ht="15.75" customHeight="1">
      <c r="A199" s="158"/>
      <c r="D199" s="159"/>
      <c r="H199" s="49"/>
      <c r="S199" s="158"/>
      <c r="Z199" s="2"/>
    </row>
    <row r="200" ht="15.75" customHeight="1">
      <c r="A200" s="158"/>
      <c r="D200" s="159"/>
      <c r="H200" s="49"/>
      <c r="S200" s="158"/>
      <c r="Z200" s="2"/>
    </row>
    <row r="201" ht="15.75" customHeight="1">
      <c r="A201" s="158"/>
      <c r="D201" s="159"/>
      <c r="H201" s="49"/>
      <c r="S201" s="158"/>
      <c r="Z201" s="2"/>
    </row>
    <row r="202" ht="15.75" customHeight="1">
      <c r="A202" s="158"/>
      <c r="D202" s="159"/>
      <c r="H202" s="49"/>
      <c r="S202" s="158"/>
      <c r="Z202" s="2"/>
    </row>
    <row r="203" ht="15.75" customHeight="1">
      <c r="A203" s="158"/>
      <c r="D203" s="159"/>
      <c r="H203" s="49"/>
      <c r="S203" s="158"/>
      <c r="Z203" s="2"/>
    </row>
    <row r="204" ht="15.75" customHeight="1">
      <c r="A204" s="158"/>
      <c r="D204" s="159"/>
      <c r="H204" s="49"/>
      <c r="S204" s="158"/>
      <c r="Z204" s="2"/>
    </row>
    <row r="205" ht="15.75" customHeight="1">
      <c r="A205" s="158"/>
      <c r="D205" s="159"/>
      <c r="H205" s="49"/>
      <c r="S205" s="158"/>
      <c r="Z205" s="2"/>
    </row>
    <row r="206" ht="15.75" customHeight="1">
      <c r="A206" s="158"/>
      <c r="D206" s="159"/>
      <c r="H206" s="49"/>
      <c r="S206" s="158"/>
      <c r="Z206" s="2"/>
    </row>
    <row r="207" ht="15.75" customHeight="1">
      <c r="A207" s="158"/>
      <c r="D207" s="159"/>
      <c r="H207" s="49"/>
      <c r="S207" s="158"/>
      <c r="Z207" s="2"/>
    </row>
    <row r="208" ht="15.75" customHeight="1">
      <c r="A208" s="158"/>
      <c r="D208" s="159"/>
      <c r="H208" s="49"/>
      <c r="S208" s="158"/>
      <c r="Z208" s="2"/>
    </row>
    <row r="209" ht="15.75" customHeight="1">
      <c r="A209" s="158"/>
      <c r="D209" s="159"/>
      <c r="H209" s="49"/>
      <c r="S209" s="158"/>
      <c r="Z209" s="2"/>
    </row>
    <row r="210" ht="15.75" customHeight="1">
      <c r="A210" s="158"/>
      <c r="D210" s="159"/>
      <c r="H210" s="49"/>
      <c r="S210" s="158"/>
      <c r="Z210" s="2"/>
    </row>
    <row r="211" ht="15.75" customHeight="1">
      <c r="A211" s="158"/>
      <c r="D211" s="159"/>
      <c r="H211" s="49"/>
      <c r="S211" s="158"/>
      <c r="Z211" s="2"/>
    </row>
    <row r="212" ht="15.75" customHeight="1">
      <c r="A212" s="158"/>
      <c r="D212" s="159"/>
      <c r="H212" s="49"/>
      <c r="S212" s="158"/>
      <c r="Z212" s="2"/>
    </row>
    <row r="213" ht="15.75" customHeight="1">
      <c r="A213" s="158"/>
      <c r="D213" s="159"/>
      <c r="H213" s="49"/>
      <c r="S213" s="158"/>
      <c r="Z213" s="2"/>
    </row>
    <row r="214" ht="15.75" customHeight="1">
      <c r="A214" s="158"/>
      <c r="D214" s="159"/>
      <c r="H214" s="49"/>
      <c r="S214" s="158"/>
      <c r="Z214" s="2"/>
    </row>
    <row r="215" ht="15.75" customHeight="1">
      <c r="A215" s="158"/>
      <c r="D215" s="159"/>
      <c r="H215" s="49"/>
      <c r="S215" s="158"/>
      <c r="Z215" s="2"/>
    </row>
    <row r="216" ht="15.75" customHeight="1">
      <c r="A216" s="158"/>
      <c r="D216" s="159"/>
      <c r="H216" s="49"/>
      <c r="S216" s="158"/>
      <c r="Z216" s="2"/>
    </row>
    <row r="217" ht="15.75" customHeight="1">
      <c r="A217" s="158"/>
      <c r="D217" s="159"/>
      <c r="H217" s="49"/>
      <c r="S217" s="158"/>
      <c r="Z217" s="2"/>
    </row>
    <row r="218" ht="15.75" customHeight="1">
      <c r="A218" s="158"/>
      <c r="D218" s="159"/>
      <c r="H218" s="49"/>
      <c r="S218" s="158"/>
      <c r="Z218" s="2"/>
    </row>
    <row r="219" ht="15.75" customHeight="1">
      <c r="A219" s="158"/>
      <c r="D219" s="159"/>
      <c r="H219" s="49"/>
      <c r="S219" s="158"/>
      <c r="Z219" s="2"/>
    </row>
    <row r="220" ht="15.75" customHeight="1">
      <c r="A220" s="158"/>
      <c r="D220" s="159"/>
      <c r="H220" s="49"/>
      <c r="S220" s="158"/>
      <c r="Z220" s="2"/>
    </row>
    <row r="221" ht="15.75" customHeight="1">
      <c r="A221" s="158"/>
      <c r="D221" s="159"/>
      <c r="H221" s="49"/>
      <c r="S221" s="158"/>
      <c r="Z221" s="2"/>
    </row>
    <row r="222" ht="15.75" customHeight="1">
      <c r="A222" s="158"/>
      <c r="D222" s="159"/>
      <c r="H222" s="49"/>
      <c r="S222" s="158"/>
      <c r="Z222" s="2"/>
    </row>
    <row r="223" ht="15.75" customHeight="1">
      <c r="A223" s="158"/>
      <c r="D223" s="159"/>
      <c r="H223" s="49"/>
      <c r="S223" s="158"/>
      <c r="Z223" s="2"/>
    </row>
    <row r="224" ht="15.75" customHeight="1">
      <c r="A224" s="158"/>
      <c r="D224" s="159"/>
      <c r="H224" s="49"/>
      <c r="S224" s="158"/>
      <c r="Z224" s="2"/>
    </row>
    <row r="225" ht="15.75" customHeight="1">
      <c r="A225" s="158"/>
      <c r="D225" s="159"/>
      <c r="H225" s="49"/>
      <c r="S225" s="158"/>
      <c r="Z225" s="2"/>
    </row>
    <row r="226" ht="15.75" customHeight="1">
      <c r="A226" s="158"/>
      <c r="D226" s="159"/>
      <c r="H226" s="49"/>
      <c r="S226" s="158"/>
      <c r="Z226" s="2"/>
    </row>
    <row r="227" ht="15.75" customHeight="1">
      <c r="A227" s="158"/>
      <c r="D227" s="159"/>
      <c r="H227" s="49"/>
      <c r="S227" s="158"/>
      <c r="Z227" s="2"/>
    </row>
    <row r="228" ht="15.75" customHeight="1">
      <c r="A228" s="158"/>
      <c r="D228" s="159"/>
      <c r="H228" s="49"/>
      <c r="S228" s="158"/>
      <c r="Z228" s="2"/>
    </row>
    <row r="229" ht="15.75" customHeight="1">
      <c r="A229" s="158"/>
      <c r="D229" s="159"/>
      <c r="H229" s="49"/>
      <c r="S229" s="158"/>
      <c r="Z229" s="2"/>
    </row>
    <row r="230" ht="15.75" customHeight="1">
      <c r="A230" s="158"/>
      <c r="D230" s="159"/>
      <c r="H230" s="49"/>
      <c r="S230" s="158"/>
      <c r="Z230" s="2"/>
    </row>
    <row r="231" ht="15.75" customHeight="1">
      <c r="A231" s="158"/>
      <c r="D231" s="159"/>
      <c r="H231" s="49"/>
      <c r="S231" s="158"/>
      <c r="Z231" s="2"/>
    </row>
    <row r="232" ht="15.75" customHeight="1">
      <c r="A232" s="158"/>
      <c r="D232" s="159"/>
      <c r="H232" s="49"/>
      <c r="S232" s="158"/>
      <c r="Z232" s="2"/>
    </row>
    <row r="233" ht="15.75" customHeight="1">
      <c r="A233" s="158"/>
      <c r="D233" s="159"/>
      <c r="H233" s="49"/>
      <c r="S233" s="158"/>
      <c r="Z233" s="2"/>
    </row>
    <row r="234" ht="15.75" customHeight="1">
      <c r="A234" s="158"/>
      <c r="D234" s="159"/>
      <c r="H234" s="49"/>
      <c r="S234" s="158"/>
      <c r="Z234" s="2"/>
    </row>
    <row r="235" ht="15.75" customHeight="1">
      <c r="A235" s="158"/>
      <c r="D235" s="159"/>
      <c r="H235" s="49"/>
      <c r="S235" s="158"/>
      <c r="Z235" s="2"/>
    </row>
    <row r="236" ht="15.75" customHeight="1">
      <c r="A236" s="158"/>
      <c r="D236" s="159"/>
      <c r="H236" s="49"/>
      <c r="S236" s="158"/>
      <c r="Z236" s="2"/>
    </row>
    <row r="237" ht="15.75" customHeight="1">
      <c r="A237" s="158"/>
      <c r="D237" s="159"/>
      <c r="H237" s="49"/>
      <c r="S237" s="158"/>
      <c r="Z237" s="2"/>
    </row>
    <row r="238" ht="15.75" customHeight="1">
      <c r="A238" s="158"/>
      <c r="D238" s="159"/>
      <c r="H238" s="49"/>
      <c r="S238" s="158"/>
      <c r="Z238" s="2"/>
    </row>
    <row r="239" ht="15.75" customHeight="1">
      <c r="A239" s="158"/>
      <c r="D239" s="159"/>
      <c r="H239" s="49"/>
      <c r="S239" s="158"/>
      <c r="Z239" s="2"/>
    </row>
    <row r="240" ht="15.75" customHeight="1">
      <c r="A240" s="158"/>
      <c r="D240" s="159"/>
      <c r="H240" s="49"/>
      <c r="S240" s="158"/>
      <c r="Z240" s="2"/>
    </row>
    <row r="241" ht="15.75" customHeight="1">
      <c r="A241" s="158"/>
      <c r="D241" s="159"/>
      <c r="H241" s="49"/>
      <c r="S241" s="158"/>
      <c r="Z241" s="2"/>
    </row>
    <row r="242" ht="15.75" customHeight="1">
      <c r="A242" s="158"/>
      <c r="D242" s="159"/>
      <c r="H242" s="49"/>
      <c r="S242" s="158"/>
      <c r="Z242" s="2"/>
    </row>
    <row r="243" ht="15.75" customHeight="1">
      <c r="A243" s="158"/>
      <c r="D243" s="159"/>
      <c r="H243" s="49"/>
      <c r="S243" s="158"/>
      <c r="Z243" s="2"/>
    </row>
    <row r="244" ht="15.75" customHeight="1">
      <c r="A244" s="158"/>
      <c r="D244" s="159"/>
      <c r="H244" s="49"/>
      <c r="S244" s="158"/>
      <c r="Z244" s="2"/>
    </row>
    <row r="245" ht="15.75" customHeight="1">
      <c r="A245" s="158"/>
      <c r="D245" s="159"/>
      <c r="H245" s="49"/>
      <c r="S245" s="158"/>
      <c r="Z245" s="2"/>
    </row>
    <row r="246" ht="15.75" customHeight="1">
      <c r="A246" s="158"/>
      <c r="D246" s="159"/>
      <c r="H246" s="49"/>
      <c r="S246" s="158"/>
      <c r="Z246" s="2"/>
    </row>
    <row r="247" ht="15.75" customHeight="1">
      <c r="A247" s="158"/>
      <c r="D247" s="159"/>
      <c r="H247" s="49"/>
      <c r="S247" s="158"/>
      <c r="Z247" s="2"/>
    </row>
    <row r="248" ht="15.75" customHeight="1">
      <c r="A248" s="158"/>
      <c r="D248" s="159"/>
      <c r="H248" s="49"/>
      <c r="S248" s="158"/>
      <c r="Z248" s="2"/>
    </row>
    <row r="249" ht="15.75" customHeight="1">
      <c r="A249" s="158"/>
      <c r="D249" s="159"/>
      <c r="H249" s="49"/>
      <c r="S249" s="158"/>
      <c r="Z249" s="2"/>
    </row>
    <row r="250" ht="15.75" customHeight="1">
      <c r="A250" s="158"/>
      <c r="D250" s="159"/>
      <c r="H250" s="49"/>
      <c r="S250" s="158"/>
      <c r="Z250" s="2"/>
    </row>
    <row r="251" ht="15.75" customHeight="1">
      <c r="A251" s="158"/>
      <c r="D251" s="159"/>
      <c r="H251" s="49"/>
      <c r="S251" s="158"/>
      <c r="Z251" s="2"/>
    </row>
    <row r="252" ht="15.75" customHeight="1">
      <c r="A252" s="158"/>
      <c r="D252" s="159"/>
      <c r="H252" s="49"/>
      <c r="S252" s="158"/>
      <c r="Z252" s="2"/>
    </row>
    <row r="253" ht="15.75" customHeight="1">
      <c r="A253" s="158"/>
      <c r="D253" s="159"/>
      <c r="H253" s="49"/>
      <c r="S253" s="158"/>
      <c r="Z253" s="2"/>
    </row>
    <row r="254" ht="15.75" customHeight="1">
      <c r="A254" s="158"/>
      <c r="D254" s="159"/>
      <c r="H254" s="49"/>
      <c r="S254" s="158"/>
      <c r="Z254" s="2"/>
    </row>
    <row r="255" ht="15.75" customHeight="1">
      <c r="A255" s="158"/>
      <c r="D255" s="159"/>
      <c r="H255" s="49"/>
      <c r="S255" s="158"/>
      <c r="Z255" s="2"/>
    </row>
    <row r="256" ht="15.75" customHeight="1">
      <c r="A256" s="158"/>
      <c r="D256" s="159"/>
      <c r="H256" s="49"/>
      <c r="S256" s="158"/>
      <c r="Z256" s="2"/>
    </row>
    <row r="257" ht="15.75" customHeight="1">
      <c r="A257" s="158"/>
      <c r="D257" s="159"/>
      <c r="H257" s="49"/>
      <c r="S257" s="158"/>
      <c r="Z257" s="2"/>
    </row>
    <row r="258" ht="15.75" customHeight="1">
      <c r="A258" s="158"/>
      <c r="D258" s="159"/>
      <c r="H258" s="49"/>
      <c r="S258" s="158"/>
      <c r="Z258" s="2"/>
    </row>
    <row r="259" ht="15.75" customHeight="1">
      <c r="A259" s="158"/>
      <c r="D259" s="159"/>
      <c r="H259" s="49"/>
      <c r="S259" s="158"/>
      <c r="Z259" s="2"/>
    </row>
    <row r="260" ht="15.75" customHeight="1">
      <c r="A260" s="158"/>
      <c r="D260" s="159"/>
      <c r="H260" s="49"/>
      <c r="S260" s="158"/>
      <c r="Z260" s="2"/>
    </row>
    <row r="261" ht="15.75" customHeight="1">
      <c r="A261" s="158"/>
      <c r="D261" s="159"/>
      <c r="H261" s="49"/>
      <c r="S261" s="158"/>
      <c r="Z261" s="2"/>
    </row>
    <row r="262" ht="15.75" customHeight="1">
      <c r="A262" s="158"/>
      <c r="D262" s="159"/>
      <c r="H262" s="49"/>
      <c r="S262" s="158"/>
      <c r="Z262" s="2"/>
    </row>
    <row r="263" ht="15.75" customHeight="1">
      <c r="A263" s="158"/>
      <c r="D263" s="159"/>
      <c r="H263" s="49"/>
      <c r="S263" s="158"/>
      <c r="Z263" s="2"/>
    </row>
    <row r="264" ht="15.75" customHeight="1">
      <c r="A264" s="158"/>
      <c r="D264" s="159"/>
      <c r="H264" s="49"/>
      <c r="S264" s="158"/>
      <c r="Z264" s="2"/>
    </row>
    <row r="265" ht="15.75" customHeight="1">
      <c r="A265" s="158"/>
      <c r="D265" s="159"/>
      <c r="H265" s="49"/>
      <c r="S265" s="158"/>
      <c r="Z265" s="2"/>
    </row>
    <row r="266" ht="15.75" customHeight="1">
      <c r="A266" s="158"/>
      <c r="D266" s="159"/>
      <c r="H266" s="49"/>
      <c r="S266" s="158"/>
      <c r="Z266" s="2"/>
    </row>
    <row r="267" ht="15.75" customHeight="1">
      <c r="A267" s="158"/>
      <c r="D267" s="159"/>
      <c r="H267" s="49"/>
      <c r="S267" s="158"/>
      <c r="Z267" s="2"/>
    </row>
    <row r="268" ht="15.75" customHeight="1">
      <c r="A268" s="158"/>
      <c r="D268" s="159"/>
      <c r="H268" s="49"/>
      <c r="S268" s="158"/>
      <c r="Z268" s="2"/>
    </row>
    <row r="269" ht="15.75" customHeight="1">
      <c r="A269" s="158"/>
      <c r="D269" s="159"/>
      <c r="H269" s="49"/>
      <c r="S269" s="158"/>
      <c r="Z269" s="2"/>
    </row>
    <row r="270" ht="15.75" customHeight="1">
      <c r="A270" s="158"/>
      <c r="D270" s="159"/>
      <c r="H270" s="49"/>
      <c r="S270" s="158"/>
      <c r="Z270" s="2"/>
    </row>
    <row r="271" ht="15.75" customHeight="1">
      <c r="A271" s="158"/>
      <c r="D271" s="159"/>
      <c r="H271" s="49"/>
      <c r="S271" s="158"/>
      <c r="Z271" s="2"/>
    </row>
    <row r="272" ht="15.75" customHeight="1">
      <c r="A272" s="158"/>
      <c r="D272" s="159"/>
      <c r="H272" s="49"/>
      <c r="S272" s="158"/>
      <c r="Z272" s="2"/>
    </row>
    <row r="273" ht="15.75" customHeight="1">
      <c r="A273" s="158"/>
      <c r="D273" s="159"/>
      <c r="H273" s="49"/>
      <c r="S273" s="158"/>
      <c r="Z273" s="2"/>
    </row>
    <row r="274" ht="15.75" customHeight="1">
      <c r="A274" s="158"/>
      <c r="D274" s="159"/>
      <c r="H274" s="49"/>
      <c r="S274" s="158"/>
      <c r="Z274" s="2"/>
    </row>
    <row r="275" ht="15.75" customHeight="1">
      <c r="A275" s="158"/>
      <c r="D275" s="159"/>
      <c r="H275" s="49"/>
      <c r="S275" s="158"/>
      <c r="Z275" s="2"/>
    </row>
    <row r="276" ht="15.75" customHeight="1">
      <c r="A276" s="158"/>
      <c r="D276" s="159"/>
      <c r="H276" s="49"/>
      <c r="S276" s="158"/>
      <c r="Z276" s="2"/>
    </row>
    <row r="277" ht="15.75" customHeight="1">
      <c r="A277" s="158"/>
      <c r="D277" s="159"/>
      <c r="H277" s="49"/>
      <c r="S277" s="158"/>
      <c r="Z277" s="2"/>
    </row>
    <row r="278" ht="15.75" customHeight="1">
      <c r="A278" s="158"/>
      <c r="D278" s="159"/>
      <c r="H278" s="49"/>
      <c r="S278" s="158"/>
      <c r="Z278" s="2"/>
    </row>
    <row r="279" ht="15.75" customHeight="1">
      <c r="A279" s="158"/>
      <c r="D279" s="159"/>
      <c r="H279" s="49"/>
      <c r="S279" s="158"/>
      <c r="Z279" s="2"/>
    </row>
    <row r="280" ht="15.75" customHeight="1">
      <c r="A280" s="158"/>
      <c r="D280" s="159"/>
      <c r="H280" s="49"/>
      <c r="S280" s="158"/>
      <c r="Z280" s="2"/>
    </row>
    <row r="281" ht="15.75" customHeight="1">
      <c r="A281" s="158"/>
      <c r="D281" s="159"/>
      <c r="H281" s="49"/>
      <c r="S281" s="158"/>
      <c r="Z281" s="2"/>
    </row>
    <row r="282" ht="15.75" customHeight="1">
      <c r="A282" s="158"/>
      <c r="D282" s="159"/>
      <c r="H282" s="49"/>
      <c r="S282" s="158"/>
      <c r="Z282" s="2"/>
    </row>
    <row r="283" ht="15.75" customHeight="1">
      <c r="A283" s="158"/>
      <c r="D283" s="159"/>
      <c r="H283" s="49"/>
      <c r="S283" s="158"/>
      <c r="Z283" s="2"/>
    </row>
    <row r="284" ht="15.75" customHeight="1">
      <c r="A284" s="158"/>
      <c r="D284" s="159"/>
      <c r="H284" s="49"/>
      <c r="S284" s="158"/>
      <c r="Z284" s="2"/>
    </row>
    <row r="285" ht="15.75" customHeight="1">
      <c r="A285" s="158"/>
      <c r="D285" s="159"/>
      <c r="H285" s="49"/>
      <c r="S285" s="158"/>
      <c r="Z285" s="2"/>
    </row>
    <row r="286" ht="15.75" customHeight="1">
      <c r="A286" s="158"/>
      <c r="D286" s="159"/>
      <c r="H286" s="49"/>
      <c r="S286" s="158"/>
      <c r="Z286" s="2"/>
    </row>
    <row r="287" ht="15.75" customHeight="1">
      <c r="A287" s="158"/>
      <c r="H287" s="2"/>
      <c r="S287" s="158"/>
      <c r="Z287" s="2"/>
    </row>
    <row r="288" ht="15.75" customHeight="1">
      <c r="A288" s="158"/>
      <c r="H288" s="2"/>
      <c r="S288" s="158"/>
      <c r="Z288" s="2"/>
    </row>
    <row r="289" ht="15.75" customHeight="1">
      <c r="A289" s="158"/>
      <c r="H289" s="2"/>
      <c r="S289" s="158"/>
      <c r="Z289" s="2"/>
    </row>
    <row r="290" ht="15.75" customHeight="1">
      <c r="A290" s="158"/>
      <c r="H290" s="2"/>
      <c r="S290" s="158"/>
      <c r="Z290" s="2"/>
    </row>
    <row r="291" ht="15.75" customHeight="1">
      <c r="A291" s="158"/>
      <c r="H291" s="2"/>
      <c r="S291" s="158"/>
      <c r="Z291" s="2"/>
    </row>
    <row r="292" ht="15.75" customHeight="1">
      <c r="A292" s="158"/>
      <c r="H292" s="2"/>
      <c r="S292" s="158"/>
      <c r="Z292" s="2"/>
    </row>
    <row r="293" ht="15.75" customHeight="1">
      <c r="A293" s="158"/>
      <c r="H293" s="2"/>
      <c r="S293" s="158"/>
      <c r="Z293" s="2"/>
    </row>
    <row r="294" ht="15.75" customHeight="1">
      <c r="A294" s="158"/>
      <c r="H294" s="2"/>
      <c r="S294" s="158"/>
      <c r="Z294" s="2"/>
    </row>
    <row r="295" ht="15.75" customHeight="1">
      <c r="A295" s="158"/>
      <c r="H295" s="2"/>
      <c r="S295" s="158"/>
      <c r="Z295" s="2"/>
    </row>
    <row r="296" ht="15.75" customHeight="1">
      <c r="A296" s="158"/>
      <c r="H296" s="2"/>
      <c r="S296" s="158"/>
      <c r="Z296" s="2"/>
    </row>
    <row r="297" ht="15.75" customHeight="1">
      <c r="A297" s="158"/>
      <c r="H297" s="2"/>
      <c r="S297" s="158"/>
      <c r="Z297" s="2"/>
    </row>
    <row r="298" ht="15.75" customHeight="1">
      <c r="A298" s="158"/>
      <c r="H298" s="2"/>
      <c r="S298" s="158"/>
      <c r="Z298" s="2"/>
    </row>
    <row r="299" ht="15.75" customHeight="1">
      <c r="A299" s="158"/>
      <c r="H299" s="2"/>
      <c r="S299" s="158"/>
      <c r="Z299" s="2"/>
    </row>
    <row r="300" ht="15.75" customHeight="1">
      <c r="A300" s="158"/>
      <c r="H300" s="2"/>
      <c r="S300" s="158"/>
      <c r="Z300" s="2"/>
    </row>
    <row r="301" ht="15.75" customHeight="1">
      <c r="A301" s="158"/>
      <c r="H301" s="2"/>
      <c r="S301" s="158"/>
      <c r="Z301" s="2"/>
    </row>
    <row r="302" ht="15.75" customHeight="1">
      <c r="A302" s="158"/>
      <c r="H302" s="2"/>
      <c r="S302" s="158"/>
      <c r="Z302" s="2"/>
    </row>
    <row r="303" ht="15.75" customHeight="1">
      <c r="A303" s="158"/>
      <c r="H303" s="2"/>
      <c r="S303" s="158"/>
      <c r="Z303" s="2"/>
    </row>
    <row r="304" ht="15.75" customHeight="1">
      <c r="A304" s="158"/>
      <c r="H304" s="2"/>
      <c r="S304" s="158"/>
      <c r="Z304" s="2"/>
    </row>
    <row r="305" ht="15.75" customHeight="1">
      <c r="A305" s="158"/>
      <c r="H305" s="2"/>
      <c r="S305" s="158"/>
      <c r="Z305" s="2"/>
    </row>
    <row r="306" ht="15.75" customHeight="1">
      <c r="A306" s="158"/>
      <c r="H306" s="2"/>
      <c r="S306" s="158"/>
      <c r="Z306" s="2"/>
    </row>
    <row r="307" ht="15.75" customHeight="1">
      <c r="A307" s="158"/>
      <c r="H307" s="2"/>
      <c r="S307" s="158"/>
      <c r="Z307" s="2"/>
    </row>
    <row r="308" ht="15.75" customHeight="1">
      <c r="A308" s="158"/>
      <c r="H308" s="2"/>
      <c r="S308" s="158"/>
      <c r="Z308" s="2"/>
    </row>
    <row r="309" ht="15.75" customHeight="1">
      <c r="A309" s="158"/>
      <c r="H309" s="2"/>
      <c r="S309" s="158"/>
      <c r="Z309" s="2"/>
    </row>
    <row r="310" ht="15.75" customHeight="1">
      <c r="A310" s="158"/>
      <c r="H310" s="2"/>
      <c r="S310" s="158"/>
      <c r="Z310" s="2"/>
    </row>
    <row r="311" ht="15.75" customHeight="1">
      <c r="A311" s="158"/>
      <c r="H311" s="2"/>
      <c r="S311" s="158"/>
      <c r="Z311" s="2"/>
    </row>
    <row r="312" ht="15.75" customHeight="1">
      <c r="A312" s="158"/>
      <c r="H312" s="2"/>
      <c r="S312" s="158"/>
      <c r="Z312" s="2"/>
    </row>
    <row r="313" ht="15.75" customHeight="1">
      <c r="A313" s="158"/>
      <c r="H313" s="2"/>
      <c r="S313" s="158"/>
      <c r="Z313" s="2"/>
    </row>
    <row r="314" ht="15.75" customHeight="1">
      <c r="A314" s="158"/>
      <c r="H314" s="2"/>
      <c r="S314" s="158"/>
      <c r="Z314" s="2"/>
    </row>
    <row r="315" ht="15.75" customHeight="1">
      <c r="A315" s="158"/>
      <c r="H315" s="2"/>
      <c r="S315" s="158"/>
      <c r="Z315" s="2"/>
    </row>
    <row r="316" ht="15.75" customHeight="1">
      <c r="A316" s="158"/>
      <c r="H316" s="2"/>
      <c r="S316" s="158"/>
      <c r="Z316" s="2"/>
    </row>
    <row r="317" ht="15.75" customHeight="1">
      <c r="A317" s="158"/>
      <c r="H317" s="2"/>
      <c r="S317" s="158"/>
      <c r="Z317" s="2"/>
    </row>
    <row r="318" ht="15.75" customHeight="1">
      <c r="A318" s="158"/>
      <c r="H318" s="2"/>
      <c r="S318" s="158"/>
      <c r="Z318" s="2"/>
    </row>
    <row r="319" ht="15.75" customHeight="1">
      <c r="A319" s="158"/>
      <c r="H319" s="2"/>
      <c r="S319" s="158"/>
      <c r="Z319" s="2"/>
    </row>
    <row r="320" ht="15.75" customHeight="1">
      <c r="A320" s="158"/>
      <c r="H320" s="2"/>
      <c r="S320" s="158"/>
      <c r="Z320" s="2"/>
    </row>
    <row r="321" ht="15.75" customHeight="1">
      <c r="A321" s="158"/>
      <c r="H321" s="2"/>
      <c r="S321" s="158"/>
      <c r="Z321" s="2"/>
    </row>
    <row r="322" ht="15.75" customHeight="1">
      <c r="A322" s="158"/>
      <c r="H322" s="2"/>
      <c r="S322" s="158"/>
      <c r="Z322" s="2"/>
    </row>
    <row r="323" ht="15.75" customHeight="1">
      <c r="A323" s="158"/>
      <c r="H323" s="2"/>
      <c r="S323" s="158"/>
      <c r="Z323" s="2"/>
    </row>
    <row r="324" ht="15.75" customHeight="1">
      <c r="A324" s="158"/>
      <c r="H324" s="2"/>
      <c r="S324" s="158"/>
      <c r="Z324" s="2"/>
    </row>
    <row r="325" ht="15.75" customHeight="1">
      <c r="A325" s="158"/>
      <c r="H325" s="2"/>
      <c r="S325" s="158"/>
      <c r="Z325" s="2"/>
    </row>
    <row r="326" ht="15.75" customHeight="1">
      <c r="A326" s="158"/>
      <c r="H326" s="2"/>
      <c r="S326" s="158"/>
      <c r="Z326" s="2"/>
    </row>
    <row r="327" ht="15.75" customHeight="1">
      <c r="A327" s="158"/>
      <c r="H327" s="2"/>
      <c r="S327" s="158"/>
      <c r="Z327" s="2"/>
    </row>
    <row r="328" ht="15.75" customHeight="1">
      <c r="A328" s="158"/>
      <c r="H328" s="2"/>
      <c r="S328" s="158"/>
      <c r="Z328" s="2"/>
    </row>
    <row r="329" ht="15.75" customHeight="1">
      <c r="A329" s="158"/>
      <c r="H329" s="2"/>
      <c r="S329" s="158"/>
      <c r="Z329" s="2"/>
    </row>
    <row r="330" ht="15.75" customHeight="1">
      <c r="A330" s="158"/>
      <c r="H330" s="2"/>
      <c r="S330" s="158"/>
      <c r="Z330" s="2"/>
    </row>
    <row r="331" ht="15.75" customHeight="1">
      <c r="A331" s="158"/>
      <c r="H331" s="2"/>
      <c r="S331" s="158"/>
      <c r="Z331" s="2"/>
    </row>
    <row r="332" ht="15.75" customHeight="1">
      <c r="A332" s="158"/>
      <c r="H332" s="2"/>
      <c r="S332" s="158"/>
      <c r="Z332" s="2"/>
    </row>
    <row r="333" ht="15.75" customHeight="1">
      <c r="A333" s="158"/>
      <c r="H333" s="2"/>
      <c r="S333" s="158"/>
      <c r="Z333" s="2"/>
    </row>
    <row r="334" ht="15.75" customHeight="1">
      <c r="A334" s="158"/>
      <c r="H334" s="2"/>
      <c r="S334" s="158"/>
      <c r="Z334" s="2"/>
    </row>
    <row r="335" ht="15.75" customHeight="1">
      <c r="A335" s="158"/>
      <c r="H335" s="2"/>
      <c r="S335" s="158"/>
      <c r="Z335" s="2"/>
    </row>
    <row r="336" ht="15.75" customHeight="1">
      <c r="A336" s="158"/>
      <c r="H336" s="2"/>
      <c r="S336" s="158"/>
      <c r="Z336" s="2"/>
    </row>
    <row r="337" ht="15.75" customHeight="1">
      <c r="A337" s="158"/>
      <c r="H337" s="2"/>
      <c r="S337" s="158"/>
      <c r="Z337" s="2"/>
    </row>
    <row r="338" ht="15.75" customHeight="1">
      <c r="A338" s="158"/>
      <c r="H338" s="2"/>
      <c r="S338" s="158"/>
      <c r="Z338" s="2"/>
    </row>
    <row r="339" ht="15.75" customHeight="1">
      <c r="A339" s="158"/>
      <c r="H339" s="2"/>
      <c r="S339" s="158"/>
      <c r="Z339" s="2"/>
    </row>
    <row r="340" ht="15.75" customHeight="1">
      <c r="A340" s="158"/>
      <c r="H340" s="2"/>
      <c r="S340" s="158"/>
      <c r="Z340" s="2"/>
    </row>
    <row r="341" ht="15.75" customHeight="1">
      <c r="A341" s="158"/>
      <c r="H341" s="2"/>
      <c r="S341" s="158"/>
      <c r="Z341" s="2"/>
    </row>
    <row r="342" ht="15.75" customHeight="1">
      <c r="A342" s="158"/>
      <c r="H342" s="2"/>
      <c r="S342" s="158"/>
      <c r="Z342" s="2"/>
    </row>
    <row r="343" ht="15.75" customHeight="1">
      <c r="A343" s="158"/>
      <c r="H343" s="2"/>
      <c r="S343" s="158"/>
      <c r="Z343" s="2"/>
    </row>
    <row r="344" ht="15.75" customHeight="1">
      <c r="A344" s="158"/>
      <c r="H344" s="2"/>
      <c r="S344" s="158"/>
      <c r="Z344" s="2"/>
    </row>
    <row r="345" ht="15.75" customHeight="1">
      <c r="A345" s="158"/>
      <c r="H345" s="2"/>
      <c r="S345" s="158"/>
      <c r="Z345" s="2"/>
    </row>
    <row r="346" ht="15.75" customHeight="1">
      <c r="A346" s="158"/>
      <c r="H346" s="2"/>
      <c r="S346" s="158"/>
      <c r="Z346" s="2"/>
    </row>
    <row r="347" ht="15.75" customHeight="1">
      <c r="A347" s="158"/>
      <c r="H347" s="2"/>
      <c r="S347" s="158"/>
      <c r="Z347" s="2"/>
    </row>
    <row r="348" ht="15.75" customHeight="1">
      <c r="A348" s="158"/>
      <c r="H348" s="2"/>
      <c r="S348" s="158"/>
      <c r="Z348" s="2"/>
    </row>
    <row r="349" ht="15.75" customHeight="1">
      <c r="A349" s="158"/>
      <c r="H349" s="2"/>
      <c r="S349" s="158"/>
      <c r="Z349" s="2"/>
    </row>
    <row r="350" ht="15.75" customHeight="1">
      <c r="A350" s="158"/>
      <c r="H350" s="2"/>
      <c r="S350" s="158"/>
      <c r="Z350" s="2"/>
    </row>
    <row r="351" ht="15.75" customHeight="1">
      <c r="A351" s="158"/>
      <c r="H351" s="2"/>
      <c r="S351" s="158"/>
      <c r="Z351" s="2"/>
    </row>
    <row r="352" ht="15.75" customHeight="1">
      <c r="A352" s="158"/>
      <c r="H352" s="2"/>
      <c r="S352" s="158"/>
      <c r="Z352" s="2"/>
    </row>
    <row r="353" ht="15.75" customHeight="1">
      <c r="A353" s="158"/>
      <c r="H353" s="2"/>
      <c r="S353" s="158"/>
      <c r="Z353" s="2"/>
    </row>
    <row r="354" ht="15.75" customHeight="1">
      <c r="A354" s="158"/>
      <c r="H354" s="2"/>
      <c r="S354" s="158"/>
      <c r="Z354" s="2"/>
    </row>
    <row r="355" ht="15.75" customHeight="1">
      <c r="A355" s="158"/>
      <c r="H355" s="2"/>
      <c r="S355" s="158"/>
      <c r="Z355" s="2"/>
    </row>
    <row r="356" ht="15.75" customHeight="1">
      <c r="A356" s="158"/>
      <c r="H356" s="2"/>
      <c r="S356" s="158"/>
      <c r="Z356" s="2"/>
    </row>
    <row r="357" ht="15.75" customHeight="1">
      <c r="A357" s="158"/>
      <c r="H357" s="2"/>
      <c r="S357" s="158"/>
      <c r="Z357" s="2"/>
    </row>
    <row r="358" ht="15.75" customHeight="1">
      <c r="A358" s="158"/>
      <c r="H358" s="2"/>
      <c r="S358" s="158"/>
      <c r="Z358" s="2"/>
    </row>
    <row r="359" ht="15.75" customHeight="1">
      <c r="A359" s="158"/>
      <c r="H359" s="2"/>
      <c r="S359" s="158"/>
      <c r="Z359" s="2"/>
    </row>
    <row r="360" ht="15.75" customHeight="1">
      <c r="A360" s="158"/>
      <c r="H360" s="2"/>
      <c r="S360" s="158"/>
      <c r="Z360" s="2"/>
    </row>
    <row r="361" ht="15.75" customHeight="1">
      <c r="A361" s="158"/>
      <c r="H361" s="2"/>
      <c r="S361" s="158"/>
      <c r="Z361" s="2"/>
    </row>
    <row r="362" ht="15.75" customHeight="1">
      <c r="A362" s="158"/>
      <c r="H362" s="2"/>
      <c r="S362" s="158"/>
      <c r="Z362" s="2"/>
    </row>
    <row r="363" ht="15.75" customHeight="1">
      <c r="A363" s="158"/>
      <c r="H363" s="2"/>
      <c r="S363" s="158"/>
      <c r="Z363" s="2"/>
    </row>
    <row r="364" ht="15.75" customHeight="1">
      <c r="A364" s="158"/>
      <c r="H364" s="2"/>
      <c r="S364" s="158"/>
      <c r="Z364" s="2"/>
    </row>
    <row r="365" ht="15.75" customHeight="1">
      <c r="A365" s="158"/>
      <c r="H365" s="2"/>
      <c r="S365" s="158"/>
      <c r="Z365" s="2"/>
    </row>
    <row r="366" ht="15.75" customHeight="1">
      <c r="A366" s="158"/>
      <c r="H366" s="2"/>
      <c r="S366" s="158"/>
      <c r="Z366" s="2"/>
    </row>
    <row r="367" ht="15.75" customHeight="1">
      <c r="A367" s="158"/>
      <c r="H367" s="2"/>
      <c r="S367" s="158"/>
      <c r="Z367" s="2"/>
    </row>
    <row r="368" ht="15.75" customHeight="1">
      <c r="A368" s="158"/>
      <c r="H368" s="2"/>
      <c r="S368" s="158"/>
      <c r="Z368" s="2"/>
    </row>
    <row r="369" ht="15.75" customHeight="1">
      <c r="A369" s="158"/>
      <c r="H369" s="2"/>
      <c r="S369" s="158"/>
      <c r="Z369" s="2"/>
    </row>
    <row r="370" ht="15.75" customHeight="1">
      <c r="A370" s="158"/>
      <c r="H370" s="2"/>
      <c r="S370" s="158"/>
      <c r="Z370" s="2"/>
    </row>
    <row r="371" ht="15.75" customHeight="1">
      <c r="A371" s="158"/>
      <c r="H371" s="2"/>
      <c r="S371" s="158"/>
      <c r="Z371" s="2"/>
    </row>
    <row r="372" ht="15.75" customHeight="1">
      <c r="A372" s="158"/>
      <c r="H372" s="2"/>
      <c r="S372" s="158"/>
      <c r="Z372" s="2"/>
    </row>
    <row r="373" ht="15.75" customHeight="1">
      <c r="A373" s="158"/>
      <c r="H373" s="2"/>
      <c r="S373" s="158"/>
      <c r="Z373" s="2"/>
    </row>
    <row r="374" ht="15.75" customHeight="1">
      <c r="A374" s="158"/>
      <c r="H374" s="2"/>
      <c r="S374" s="158"/>
      <c r="Z374" s="2"/>
    </row>
    <row r="375" ht="15.75" customHeight="1">
      <c r="A375" s="158"/>
      <c r="H375" s="2"/>
      <c r="S375" s="158"/>
      <c r="Z375" s="2"/>
    </row>
    <row r="376" ht="15.75" customHeight="1">
      <c r="A376" s="158"/>
      <c r="H376" s="2"/>
      <c r="S376" s="158"/>
      <c r="Z376" s="2"/>
    </row>
    <row r="377" ht="15.75" customHeight="1">
      <c r="A377" s="158"/>
      <c r="H377" s="2"/>
      <c r="S377" s="158"/>
      <c r="Z377" s="2"/>
    </row>
    <row r="378" ht="15.75" customHeight="1">
      <c r="A378" s="158"/>
      <c r="H378" s="2"/>
      <c r="S378" s="158"/>
      <c r="Z378" s="2"/>
    </row>
    <row r="379" ht="15.75" customHeight="1">
      <c r="A379" s="158"/>
      <c r="H379" s="2"/>
      <c r="S379" s="158"/>
      <c r="Z379" s="2"/>
    </row>
    <row r="380" ht="15.75" customHeight="1">
      <c r="A380" s="158"/>
      <c r="H380" s="2"/>
      <c r="S380" s="158"/>
      <c r="Z380" s="2"/>
    </row>
    <row r="381" ht="15.75" customHeight="1">
      <c r="A381" s="158"/>
      <c r="H381" s="2"/>
      <c r="S381" s="158"/>
      <c r="Z381" s="2"/>
    </row>
    <row r="382" ht="15.75" customHeight="1">
      <c r="A382" s="158"/>
      <c r="H382" s="2"/>
      <c r="S382" s="158"/>
      <c r="Z382" s="2"/>
    </row>
    <row r="383" ht="15.75" customHeight="1">
      <c r="A383" s="158"/>
      <c r="H383" s="2"/>
      <c r="S383" s="158"/>
      <c r="Z383" s="2"/>
    </row>
    <row r="384" ht="15.75" customHeight="1">
      <c r="A384" s="158"/>
      <c r="H384" s="2"/>
      <c r="S384" s="158"/>
      <c r="Z384" s="2"/>
    </row>
    <row r="385" ht="15.75" customHeight="1">
      <c r="A385" s="158"/>
      <c r="H385" s="2"/>
      <c r="S385" s="158"/>
      <c r="Z385" s="2"/>
    </row>
    <row r="386" ht="15.75" customHeight="1">
      <c r="A386" s="158"/>
      <c r="H386" s="2"/>
      <c r="S386" s="158"/>
      <c r="Z386" s="2"/>
    </row>
    <row r="387" ht="15.75" customHeight="1">
      <c r="A387" s="158"/>
      <c r="H387" s="2"/>
      <c r="S387" s="158"/>
      <c r="Z387" s="2"/>
    </row>
    <row r="388" ht="15.75" customHeight="1">
      <c r="A388" s="158"/>
      <c r="H388" s="2"/>
      <c r="S388" s="158"/>
      <c r="Z388" s="2"/>
    </row>
    <row r="389" ht="15.75" customHeight="1">
      <c r="A389" s="158"/>
      <c r="H389" s="2"/>
      <c r="S389" s="158"/>
      <c r="Z389" s="2"/>
    </row>
    <row r="390" ht="15.75" customHeight="1">
      <c r="A390" s="158"/>
      <c r="H390" s="2"/>
      <c r="S390" s="158"/>
      <c r="Z390" s="2"/>
    </row>
    <row r="391" ht="15.75" customHeight="1">
      <c r="A391" s="158"/>
      <c r="H391" s="2"/>
      <c r="S391" s="158"/>
      <c r="Z391" s="2"/>
    </row>
    <row r="392" ht="15.75" customHeight="1">
      <c r="A392" s="158"/>
      <c r="H392" s="2"/>
      <c r="S392" s="158"/>
      <c r="Z392" s="2"/>
    </row>
    <row r="393" ht="15.75" customHeight="1">
      <c r="A393" s="158"/>
      <c r="H393" s="2"/>
      <c r="S393" s="158"/>
      <c r="Z393" s="2"/>
    </row>
    <row r="394" ht="15.75" customHeight="1">
      <c r="A394" s="158"/>
      <c r="H394" s="2"/>
      <c r="S394" s="158"/>
      <c r="Z394" s="2"/>
    </row>
    <row r="395" ht="15.75" customHeight="1">
      <c r="A395" s="158"/>
      <c r="H395" s="2"/>
      <c r="S395" s="158"/>
      <c r="Z395" s="2"/>
    </row>
    <row r="396" ht="15.75" customHeight="1">
      <c r="A396" s="158"/>
      <c r="H396" s="2"/>
      <c r="S396" s="158"/>
      <c r="Z396" s="2"/>
    </row>
    <row r="397" ht="15.75" customHeight="1">
      <c r="A397" s="158"/>
      <c r="H397" s="2"/>
      <c r="S397" s="158"/>
      <c r="Z397" s="2"/>
    </row>
    <row r="398" ht="15.75" customHeight="1">
      <c r="A398" s="158"/>
      <c r="H398" s="2"/>
      <c r="S398" s="158"/>
      <c r="Z398" s="2"/>
    </row>
    <row r="399" ht="15.75" customHeight="1">
      <c r="A399" s="158"/>
      <c r="H399" s="2"/>
      <c r="S399" s="158"/>
      <c r="Z399" s="2"/>
    </row>
    <row r="400" ht="15.75" customHeight="1">
      <c r="A400" s="158"/>
      <c r="H400" s="2"/>
      <c r="S400" s="158"/>
      <c r="Z400" s="2"/>
    </row>
    <row r="401" ht="15.75" customHeight="1">
      <c r="A401" s="158"/>
      <c r="H401" s="2"/>
      <c r="S401" s="158"/>
      <c r="Z401" s="2"/>
    </row>
    <row r="402" ht="15.75" customHeight="1">
      <c r="A402" s="158"/>
      <c r="H402" s="2"/>
      <c r="S402" s="158"/>
      <c r="Z402" s="2"/>
    </row>
    <row r="403" ht="15.75" customHeight="1">
      <c r="A403" s="158"/>
      <c r="H403" s="2"/>
      <c r="S403" s="158"/>
      <c r="Z403" s="2"/>
    </row>
    <row r="404" ht="15.75" customHeight="1">
      <c r="A404" s="158"/>
      <c r="H404" s="2"/>
      <c r="S404" s="158"/>
      <c r="Z404" s="2"/>
    </row>
    <row r="405" ht="15.75" customHeight="1">
      <c r="A405" s="158"/>
      <c r="H405" s="2"/>
      <c r="S405" s="158"/>
      <c r="Z405" s="2"/>
    </row>
    <row r="406" ht="15.75" customHeight="1">
      <c r="A406" s="158"/>
      <c r="H406" s="2"/>
      <c r="S406" s="158"/>
      <c r="Z406" s="2"/>
    </row>
    <row r="407" ht="15.75" customHeight="1">
      <c r="A407" s="158"/>
      <c r="H407" s="2"/>
      <c r="S407" s="158"/>
      <c r="Z407" s="2"/>
    </row>
    <row r="408" ht="15.75" customHeight="1">
      <c r="A408" s="158"/>
      <c r="H408" s="2"/>
      <c r="S408" s="158"/>
      <c r="Z408" s="2"/>
    </row>
    <row r="409" ht="15.75" customHeight="1">
      <c r="A409" s="158"/>
      <c r="H409" s="2"/>
      <c r="S409" s="158"/>
      <c r="Z409" s="2"/>
    </row>
    <row r="410" ht="15.75" customHeight="1">
      <c r="A410" s="158"/>
      <c r="H410" s="2"/>
      <c r="S410" s="158"/>
      <c r="Z410" s="2"/>
    </row>
    <row r="411" ht="15.75" customHeight="1">
      <c r="A411" s="158"/>
      <c r="H411" s="2"/>
      <c r="S411" s="158"/>
      <c r="Z411" s="2"/>
    </row>
    <row r="412" ht="15.75" customHeight="1">
      <c r="A412" s="158"/>
      <c r="H412" s="2"/>
      <c r="S412" s="158"/>
      <c r="Z412" s="2"/>
    </row>
    <row r="413" ht="15.75" customHeight="1">
      <c r="A413" s="158"/>
      <c r="H413" s="2"/>
      <c r="S413" s="158"/>
      <c r="Z413" s="2"/>
    </row>
    <row r="414" ht="15.75" customHeight="1">
      <c r="A414" s="158"/>
      <c r="H414" s="2"/>
      <c r="S414" s="158"/>
      <c r="Z414" s="2"/>
    </row>
    <row r="415" ht="15.75" customHeight="1">
      <c r="A415" s="158"/>
      <c r="H415" s="2"/>
      <c r="S415" s="158"/>
      <c r="Z415" s="2"/>
    </row>
    <row r="416" ht="15.75" customHeight="1">
      <c r="A416" s="158"/>
      <c r="H416" s="2"/>
      <c r="S416" s="158"/>
      <c r="Z416" s="2"/>
    </row>
    <row r="417" ht="15.75" customHeight="1">
      <c r="A417" s="158"/>
      <c r="H417" s="2"/>
      <c r="S417" s="158"/>
      <c r="Z417" s="2"/>
    </row>
    <row r="418" ht="15.75" customHeight="1">
      <c r="A418" s="158"/>
      <c r="H418" s="2"/>
      <c r="S418" s="158"/>
      <c r="Z418" s="2"/>
    </row>
    <row r="419" ht="15.75" customHeight="1">
      <c r="A419" s="158"/>
      <c r="H419" s="2"/>
      <c r="S419" s="158"/>
      <c r="Z419" s="2"/>
    </row>
    <row r="420" ht="15.75" customHeight="1">
      <c r="A420" s="158"/>
      <c r="H420" s="2"/>
      <c r="S420" s="158"/>
      <c r="Z420" s="2"/>
    </row>
    <row r="421" ht="15.75" customHeight="1">
      <c r="A421" s="158"/>
      <c r="H421" s="2"/>
      <c r="S421" s="158"/>
      <c r="Z421" s="2"/>
    </row>
    <row r="422" ht="15.75" customHeight="1">
      <c r="A422" s="158"/>
      <c r="H422" s="2"/>
      <c r="S422" s="158"/>
      <c r="Z422" s="2"/>
    </row>
    <row r="423" ht="15.75" customHeight="1">
      <c r="A423" s="158"/>
      <c r="H423" s="2"/>
      <c r="S423" s="158"/>
      <c r="Z423" s="2"/>
    </row>
    <row r="424" ht="15.75" customHeight="1">
      <c r="A424" s="158"/>
      <c r="H424" s="2"/>
      <c r="S424" s="158"/>
      <c r="Z424" s="2"/>
    </row>
    <row r="425" ht="15.75" customHeight="1">
      <c r="A425" s="158"/>
      <c r="H425" s="2"/>
      <c r="S425" s="158"/>
      <c r="Z425" s="2"/>
    </row>
    <row r="426" ht="15.75" customHeight="1">
      <c r="A426" s="158"/>
      <c r="H426" s="2"/>
      <c r="S426" s="158"/>
      <c r="Z426" s="2"/>
    </row>
    <row r="427" ht="15.75" customHeight="1">
      <c r="A427" s="158"/>
      <c r="H427" s="2"/>
      <c r="S427" s="158"/>
      <c r="Z427" s="2"/>
    </row>
    <row r="428" ht="15.75" customHeight="1">
      <c r="A428" s="158"/>
      <c r="H428" s="2"/>
      <c r="S428" s="158"/>
      <c r="Z428" s="2"/>
    </row>
    <row r="429" ht="15.75" customHeight="1">
      <c r="A429" s="158"/>
      <c r="H429" s="2"/>
      <c r="S429" s="158"/>
      <c r="Z429" s="2"/>
    </row>
    <row r="430" ht="15.75" customHeight="1">
      <c r="A430" s="158"/>
      <c r="H430" s="2"/>
      <c r="S430" s="158"/>
      <c r="Z430" s="2"/>
    </row>
    <row r="431" ht="15.75" customHeight="1">
      <c r="A431" s="158"/>
      <c r="H431" s="2"/>
      <c r="S431" s="158"/>
      <c r="Z431" s="2"/>
    </row>
    <row r="432" ht="15.75" customHeight="1">
      <c r="A432" s="158"/>
      <c r="H432" s="2"/>
      <c r="S432" s="158"/>
      <c r="Z432" s="2"/>
    </row>
    <row r="433" ht="15.75" customHeight="1">
      <c r="A433" s="158"/>
      <c r="H433" s="2"/>
      <c r="S433" s="158"/>
      <c r="Z433" s="2"/>
    </row>
    <row r="434" ht="15.75" customHeight="1">
      <c r="A434" s="158"/>
      <c r="H434" s="2"/>
      <c r="S434" s="158"/>
      <c r="Z434" s="2"/>
    </row>
    <row r="435" ht="15.75" customHeight="1">
      <c r="A435" s="158"/>
      <c r="H435" s="2"/>
      <c r="S435" s="158"/>
      <c r="Z435" s="2"/>
    </row>
    <row r="436" ht="15.75" customHeight="1">
      <c r="A436" s="158"/>
      <c r="H436" s="2"/>
      <c r="S436" s="158"/>
      <c r="Z436" s="2"/>
    </row>
    <row r="437" ht="15.75" customHeight="1">
      <c r="A437" s="158"/>
      <c r="H437" s="2"/>
      <c r="S437" s="158"/>
      <c r="Z437" s="2"/>
    </row>
    <row r="438" ht="15.75" customHeight="1">
      <c r="A438" s="158"/>
      <c r="H438" s="2"/>
      <c r="S438" s="158"/>
      <c r="Z438" s="2"/>
    </row>
    <row r="439" ht="15.75" customHeight="1">
      <c r="A439" s="158"/>
      <c r="H439" s="2"/>
      <c r="S439" s="158"/>
      <c r="Z439" s="2"/>
    </row>
    <row r="440" ht="15.75" customHeight="1">
      <c r="A440" s="158"/>
      <c r="H440" s="2"/>
      <c r="S440" s="158"/>
      <c r="Z440" s="2"/>
    </row>
    <row r="441" ht="15.75" customHeight="1">
      <c r="A441" s="158"/>
      <c r="H441" s="2"/>
      <c r="S441" s="158"/>
      <c r="Z441" s="2"/>
    </row>
    <row r="442" ht="15.75" customHeight="1">
      <c r="A442" s="158"/>
      <c r="H442" s="2"/>
      <c r="S442" s="158"/>
      <c r="Z442" s="2"/>
    </row>
    <row r="443" ht="15.75" customHeight="1">
      <c r="A443" s="158"/>
      <c r="H443" s="2"/>
      <c r="S443" s="158"/>
      <c r="Z443" s="2"/>
    </row>
    <row r="444" ht="15.75" customHeight="1">
      <c r="A444" s="158"/>
      <c r="H444" s="2"/>
      <c r="S444" s="158"/>
      <c r="Z444" s="2"/>
    </row>
    <row r="445" ht="15.75" customHeight="1">
      <c r="A445" s="158"/>
      <c r="H445" s="2"/>
      <c r="S445" s="158"/>
      <c r="Z445" s="2"/>
    </row>
    <row r="446" ht="15.75" customHeight="1">
      <c r="A446" s="158"/>
      <c r="H446" s="2"/>
      <c r="S446" s="158"/>
      <c r="Z446" s="2"/>
    </row>
    <row r="447" ht="15.75" customHeight="1">
      <c r="A447" s="158"/>
      <c r="H447" s="2"/>
      <c r="S447" s="158"/>
      <c r="Z447" s="2"/>
    </row>
    <row r="448" ht="15.75" customHeight="1">
      <c r="A448" s="158"/>
      <c r="H448" s="2"/>
      <c r="S448" s="158"/>
      <c r="Z448" s="2"/>
    </row>
    <row r="449" ht="15.75" customHeight="1">
      <c r="A449" s="158"/>
      <c r="H449" s="2"/>
      <c r="S449" s="158"/>
      <c r="Z449" s="2"/>
    </row>
    <row r="450" ht="15.75" customHeight="1">
      <c r="A450" s="158"/>
      <c r="H450" s="2"/>
      <c r="S450" s="158"/>
      <c r="Z450" s="2"/>
    </row>
    <row r="451" ht="15.75" customHeight="1">
      <c r="A451" s="158"/>
      <c r="H451" s="2"/>
      <c r="S451" s="158"/>
      <c r="Z451" s="2"/>
    </row>
    <row r="452" ht="15.75" customHeight="1">
      <c r="A452" s="158"/>
      <c r="H452" s="2"/>
      <c r="S452" s="158"/>
      <c r="Z452" s="2"/>
    </row>
    <row r="453" ht="15.75" customHeight="1">
      <c r="A453" s="158"/>
      <c r="H453" s="2"/>
      <c r="S453" s="158"/>
      <c r="Z453" s="2"/>
    </row>
    <row r="454" ht="15.75" customHeight="1">
      <c r="A454" s="158"/>
      <c r="H454" s="2"/>
      <c r="S454" s="158"/>
      <c r="Z454" s="2"/>
    </row>
    <row r="455" ht="15.75" customHeight="1">
      <c r="A455" s="158"/>
      <c r="H455" s="2"/>
      <c r="S455" s="158"/>
      <c r="Z455" s="2"/>
    </row>
    <row r="456" ht="15.75" customHeight="1">
      <c r="A456" s="158"/>
      <c r="H456" s="2"/>
      <c r="S456" s="158"/>
      <c r="Z456" s="2"/>
    </row>
    <row r="457" ht="15.75" customHeight="1">
      <c r="A457" s="158"/>
      <c r="H457" s="2"/>
      <c r="S457" s="158"/>
      <c r="Z457" s="2"/>
    </row>
    <row r="458" ht="15.75" customHeight="1">
      <c r="A458" s="158"/>
      <c r="H458" s="2"/>
      <c r="S458" s="158"/>
      <c r="Z458" s="2"/>
    </row>
    <row r="459" ht="15.75" customHeight="1">
      <c r="A459" s="158"/>
      <c r="H459" s="2"/>
      <c r="S459" s="158"/>
      <c r="Z459" s="2"/>
    </row>
    <row r="460" ht="15.75" customHeight="1">
      <c r="A460" s="158"/>
      <c r="H460" s="2"/>
      <c r="S460" s="158"/>
      <c r="Z460" s="2"/>
    </row>
    <row r="461" ht="15.75" customHeight="1">
      <c r="A461" s="158"/>
      <c r="H461" s="2"/>
      <c r="S461" s="158"/>
      <c r="Z461" s="2"/>
    </row>
    <row r="462" ht="15.75" customHeight="1">
      <c r="A462" s="158"/>
      <c r="H462" s="2"/>
      <c r="S462" s="158"/>
      <c r="Z462" s="2"/>
    </row>
    <row r="463" ht="15.75" customHeight="1">
      <c r="A463" s="158"/>
      <c r="H463" s="2"/>
      <c r="S463" s="158"/>
      <c r="Z463" s="2"/>
    </row>
    <row r="464" ht="15.75" customHeight="1">
      <c r="A464" s="158"/>
      <c r="H464" s="2"/>
      <c r="S464" s="158"/>
      <c r="Z464" s="2"/>
    </row>
    <row r="465" ht="15.75" customHeight="1">
      <c r="A465" s="158"/>
      <c r="H465" s="2"/>
      <c r="S465" s="158"/>
      <c r="Z465" s="2"/>
    </row>
    <row r="466" ht="15.75" customHeight="1">
      <c r="A466" s="158"/>
      <c r="H466" s="2"/>
      <c r="S466" s="158"/>
      <c r="Z466" s="2"/>
    </row>
    <row r="467" ht="15.75" customHeight="1">
      <c r="A467" s="158"/>
      <c r="H467" s="2"/>
      <c r="S467" s="158"/>
      <c r="Z467" s="2"/>
    </row>
    <row r="468" ht="15.75" customHeight="1">
      <c r="A468" s="158"/>
      <c r="H468" s="2"/>
      <c r="S468" s="158"/>
      <c r="Z468" s="2"/>
    </row>
    <row r="469" ht="15.75" customHeight="1">
      <c r="A469" s="158"/>
      <c r="H469" s="2"/>
      <c r="S469" s="158"/>
      <c r="Z469" s="2"/>
    </row>
    <row r="470" ht="15.75" customHeight="1">
      <c r="A470" s="158"/>
      <c r="H470" s="2"/>
      <c r="S470" s="158"/>
      <c r="Z470" s="2"/>
    </row>
    <row r="471" ht="15.75" customHeight="1">
      <c r="A471" s="158"/>
      <c r="H471" s="2"/>
      <c r="S471" s="158"/>
      <c r="Z471" s="2"/>
    </row>
    <row r="472" ht="15.75" customHeight="1">
      <c r="A472" s="158"/>
      <c r="H472" s="2"/>
      <c r="S472" s="158"/>
      <c r="Z472" s="2"/>
    </row>
    <row r="473" ht="15.75" customHeight="1">
      <c r="A473" s="158"/>
      <c r="H473" s="2"/>
      <c r="S473" s="158"/>
      <c r="Z473" s="2"/>
    </row>
    <row r="474" ht="15.75" customHeight="1">
      <c r="A474" s="158"/>
      <c r="H474" s="2"/>
      <c r="S474" s="158"/>
      <c r="Z474" s="2"/>
    </row>
    <row r="475" ht="15.75" customHeight="1">
      <c r="A475" s="158"/>
      <c r="H475" s="2"/>
      <c r="S475" s="158"/>
      <c r="Z475" s="2"/>
    </row>
    <row r="476" ht="15.75" customHeight="1">
      <c r="A476" s="158"/>
      <c r="H476" s="2"/>
      <c r="S476" s="158"/>
      <c r="Z476" s="2"/>
    </row>
    <row r="477" ht="15.75" customHeight="1">
      <c r="A477" s="158"/>
      <c r="H477" s="2"/>
      <c r="S477" s="158"/>
      <c r="Z477" s="2"/>
    </row>
    <row r="478" ht="15.75" customHeight="1">
      <c r="A478" s="158"/>
      <c r="H478" s="2"/>
      <c r="S478" s="158"/>
      <c r="Z478" s="2"/>
    </row>
    <row r="479" ht="15.75" customHeight="1">
      <c r="A479" s="158"/>
      <c r="H479" s="2"/>
      <c r="S479" s="158"/>
      <c r="Z479" s="2"/>
    </row>
    <row r="480" ht="15.75" customHeight="1">
      <c r="A480" s="158"/>
      <c r="H480" s="2"/>
      <c r="S480" s="158"/>
      <c r="Z480" s="2"/>
    </row>
    <row r="481" ht="15.75" customHeight="1">
      <c r="A481" s="158"/>
      <c r="H481" s="2"/>
      <c r="S481" s="158"/>
      <c r="Z481" s="2"/>
    </row>
    <row r="482" ht="15.75" customHeight="1">
      <c r="A482" s="158"/>
      <c r="H482" s="2"/>
      <c r="S482" s="158"/>
      <c r="Z482" s="2"/>
    </row>
    <row r="483" ht="15.75" customHeight="1">
      <c r="A483" s="158"/>
      <c r="H483" s="2"/>
      <c r="S483" s="158"/>
      <c r="Z483" s="2"/>
    </row>
    <row r="484" ht="15.75" customHeight="1">
      <c r="A484" s="158"/>
      <c r="H484" s="2"/>
      <c r="S484" s="158"/>
      <c r="Z484" s="2"/>
    </row>
    <row r="485" ht="15.75" customHeight="1">
      <c r="A485" s="158"/>
      <c r="H485" s="2"/>
      <c r="S485" s="158"/>
      <c r="Z485" s="2"/>
    </row>
    <row r="486" ht="15.75" customHeight="1">
      <c r="A486" s="158"/>
      <c r="H486" s="2"/>
      <c r="S486" s="158"/>
      <c r="Z486" s="2"/>
    </row>
    <row r="487" ht="15.75" customHeight="1">
      <c r="A487" s="158"/>
      <c r="H487" s="2"/>
      <c r="S487" s="158"/>
      <c r="Z487" s="2"/>
    </row>
    <row r="488" ht="15.75" customHeight="1">
      <c r="A488" s="158"/>
      <c r="H488" s="2"/>
      <c r="S488" s="158"/>
      <c r="Z488" s="2"/>
    </row>
    <row r="489" ht="15.75" customHeight="1">
      <c r="A489" s="158"/>
      <c r="H489" s="2"/>
      <c r="S489" s="158"/>
      <c r="Z489" s="2"/>
    </row>
    <row r="490" ht="15.75" customHeight="1">
      <c r="A490" s="158"/>
      <c r="H490" s="2"/>
      <c r="S490" s="158"/>
      <c r="Z490" s="2"/>
    </row>
    <row r="491" ht="15.75" customHeight="1">
      <c r="A491" s="158"/>
      <c r="H491" s="2"/>
      <c r="S491" s="158"/>
      <c r="Z491" s="2"/>
    </row>
    <row r="492" ht="15.75" customHeight="1">
      <c r="A492" s="158"/>
      <c r="H492" s="2"/>
      <c r="S492" s="158"/>
      <c r="Z492" s="2"/>
    </row>
    <row r="493" ht="15.75" customHeight="1">
      <c r="A493" s="158"/>
      <c r="H493" s="2"/>
      <c r="S493" s="158"/>
      <c r="Z493" s="2"/>
    </row>
    <row r="494" ht="15.75" customHeight="1">
      <c r="A494" s="158"/>
      <c r="H494" s="2"/>
      <c r="S494" s="158"/>
      <c r="Z494" s="2"/>
    </row>
    <row r="495" ht="15.75" customHeight="1">
      <c r="A495" s="158"/>
      <c r="H495" s="2"/>
      <c r="S495" s="158"/>
      <c r="Z495" s="2"/>
    </row>
    <row r="496" ht="15.75" customHeight="1">
      <c r="A496" s="158"/>
      <c r="H496" s="2"/>
      <c r="S496" s="158"/>
      <c r="Z496" s="2"/>
    </row>
    <row r="497" ht="15.75" customHeight="1">
      <c r="A497" s="158"/>
      <c r="H497" s="2"/>
      <c r="S497" s="158"/>
      <c r="Z497" s="2"/>
    </row>
    <row r="498" ht="15.75" customHeight="1">
      <c r="A498" s="158"/>
      <c r="H498" s="2"/>
      <c r="S498" s="158"/>
      <c r="Z498" s="2"/>
    </row>
    <row r="499" ht="15.75" customHeight="1">
      <c r="A499" s="158"/>
      <c r="H499" s="2"/>
      <c r="S499" s="158"/>
      <c r="Z499" s="2"/>
    </row>
    <row r="500" ht="15.75" customHeight="1">
      <c r="A500" s="158"/>
      <c r="H500" s="2"/>
      <c r="S500" s="158"/>
      <c r="Z500" s="2"/>
    </row>
    <row r="501" ht="15.75" customHeight="1">
      <c r="A501" s="158"/>
      <c r="H501" s="2"/>
      <c r="S501" s="158"/>
      <c r="Z501" s="2"/>
    </row>
    <row r="502" ht="15.75" customHeight="1">
      <c r="A502" s="158"/>
      <c r="H502" s="2"/>
      <c r="S502" s="158"/>
      <c r="Z502" s="2"/>
    </row>
    <row r="503" ht="15.75" customHeight="1">
      <c r="A503" s="158"/>
      <c r="H503" s="2"/>
      <c r="S503" s="158"/>
      <c r="Z503" s="2"/>
    </row>
    <row r="504" ht="15.75" customHeight="1">
      <c r="A504" s="158"/>
      <c r="H504" s="2"/>
      <c r="S504" s="158"/>
      <c r="Z504" s="2"/>
    </row>
    <row r="505" ht="15.75" customHeight="1">
      <c r="A505" s="158"/>
      <c r="H505" s="2"/>
      <c r="S505" s="158"/>
      <c r="Z505" s="2"/>
    </row>
    <row r="506" ht="15.75" customHeight="1">
      <c r="A506" s="158"/>
      <c r="H506" s="2"/>
      <c r="S506" s="158"/>
      <c r="Z506" s="2"/>
    </row>
    <row r="507" ht="15.75" customHeight="1">
      <c r="A507" s="158"/>
      <c r="H507" s="2"/>
      <c r="S507" s="158"/>
      <c r="Z507" s="2"/>
    </row>
    <row r="508" ht="15.75" customHeight="1">
      <c r="A508" s="158"/>
      <c r="H508" s="2"/>
      <c r="S508" s="158"/>
      <c r="Z508" s="2"/>
    </row>
    <row r="509" ht="15.75" customHeight="1">
      <c r="A509" s="158"/>
      <c r="H509" s="2"/>
      <c r="S509" s="158"/>
      <c r="Z509" s="2"/>
    </row>
    <row r="510" ht="15.75" customHeight="1">
      <c r="A510" s="158"/>
      <c r="H510" s="2"/>
      <c r="S510" s="158"/>
      <c r="Z510" s="2"/>
    </row>
    <row r="511" ht="15.75" customHeight="1">
      <c r="A511" s="158"/>
      <c r="H511" s="2"/>
      <c r="S511" s="158"/>
      <c r="Z511" s="2"/>
    </row>
    <row r="512" ht="15.75" customHeight="1">
      <c r="A512" s="158"/>
      <c r="H512" s="2"/>
      <c r="S512" s="158"/>
      <c r="Z512" s="2"/>
    </row>
    <row r="513" ht="15.75" customHeight="1">
      <c r="A513" s="158"/>
      <c r="H513" s="2"/>
      <c r="S513" s="158"/>
      <c r="Z513" s="2"/>
    </row>
    <row r="514" ht="15.75" customHeight="1">
      <c r="A514" s="158"/>
      <c r="H514" s="2"/>
      <c r="S514" s="158"/>
      <c r="Z514" s="2"/>
    </row>
    <row r="515" ht="15.75" customHeight="1">
      <c r="A515" s="158"/>
      <c r="H515" s="2"/>
      <c r="S515" s="158"/>
      <c r="Z515" s="2"/>
    </row>
    <row r="516" ht="15.75" customHeight="1">
      <c r="A516" s="158"/>
      <c r="H516" s="2"/>
      <c r="S516" s="158"/>
      <c r="Z516" s="2"/>
    </row>
    <row r="517" ht="15.75" customHeight="1">
      <c r="A517" s="158"/>
      <c r="H517" s="2"/>
      <c r="S517" s="158"/>
      <c r="Z517" s="2"/>
    </row>
    <row r="518" ht="15.75" customHeight="1">
      <c r="A518" s="158"/>
      <c r="H518" s="2"/>
      <c r="S518" s="158"/>
      <c r="Z518" s="2"/>
    </row>
    <row r="519" ht="15.75" customHeight="1">
      <c r="A519" s="158"/>
      <c r="H519" s="2"/>
      <c r="S519" s="158"/>
      <c r="Z519" s="2"/>
    </row>
    <row r="520" ht="15.75" customHeight="1">
      <c r="A520" s="158"/>
      <c r="H520" s="2"/>
      <c r="S520" s="158"/>
      <c r="Z520" s="2"/>
    </row>
    <row r="521" ht="15.75" customHeight="1">
      <c r="A521" s="158"/>
      <c r="H521" s="2"/>
      <c r="S521" s="158"/>
      <c r="Z521" s="2"/>
    </row>
    <row r="522" ht="15.75" customHeight="1">
      <c r="A522" s="158"/>
      <c r="H522" s="2"/>
      <c r="S522" s="158"/>
      <c r="Z522" s="2"/>
    </row>
    <row r="523" ht="15.75" customHeight="1">
      <c r="A523" s="158"/>
      <c r="H523" s="2"/>
      <c r="S523" s="158"/>
      <c r="Z523" s="2"/>
    </row>
    <row r="524" ht="15.75" customHeight="1">
      <c r="A524" s="158"/>
      <c r="H524" s="2"/>
      <c r="S524" s="158"/>
      <c r="Z524" s="2"/>
    </row>
    <row r="525" ht="15.75" customHeight="1">
      <c r="A525" s="158"/>
      <c r="H525" s="2"/>
      <c r="S525" s="158"/>
      <c r="Z525" s="2"/>
    </row>
    <row r="526" ht="15.75" customHeight="1">
      <c r="A526" s="158"/>
      <c r="H526" s="2"/>
      <c r="S526" s="158"/>
      <c r="Z526" s="2"/>
    </row>
    <row r="527" ht="15.75" customHeight="1">
      <c r="A527" s="158"/>
      <c r="H527" s="2"/>
      <c r="S527" s="158"/>
      <c r="Z527" s="2"/>
    </row>
    <row r="528" ht="15.75" customHeight="1">
      <c r="A528" s="158"/>
      <c r="H528" s="2"/>
      <c r="S528" s="158"/>
      <c r="Z528" s="2"/>
    </row>
    <row r="529" ht="15.75" customHeight="1">
      <c r="A529" s="158"/>
      <c r="H529" s="2"/>
      <c r="S529" s="158"/>
      <c r="Z529" s="2"/>
    </row>
    <row r="530" ht="15.75" customHeight="1">
      <c r="A530" s="158"/>
      <c r="H530" s="2"/>
      <c r="S530" s="158"/>
      <c r="Z530" s="2"/>
    </row>
    <row r="531" ht="15.75" customHeight="1">
      <c r="A531" s="158"/>
      <c r="H531" s="2"/>
      <c r="S531" s="158"/>
      <c r="Z531" s="2"/>
    </row>
    <row r="532" ht="15.75" customHeight="1">
      <c r="A532" s="158"/>
      <c r="H532" s="2"/>
      <c r="S532" s="158"/>
      <c r="Z532" s="2"/>
    </row>
    <row r="533" ht="15.75" customHeight="1">
      <c r="A533" s="158"/>
      <c r="H533" s="2"/>
      <c r="S533" s="158"/>
      <c r="Z533" s="2"/>
    </row>
    <row r="534" ht="15.75" customHeight="1">
      <c r="A534" s="158"/>
      <c r="H534" s="2"/>
      <c r="S534" s="158"/>
      <c r="Z534" s="2"/>
    </row>
    <row r="535" ht="15.75" customHeight="1">
      <c r="A535" s="158"/>
      <c r="H535" s="2"/>
      <c r="S535" s="158"/>
      <c r="Z535" s="2"/>
    </row>
    <row r="536" ht="15.75" customHeight="1">
      <c r="A536" s="158"/>
      <c r="H536" s="2"/>
      <c r="S536" s="158"/>
      <c r="Z536" s="2"/>
    </row>
    <row r="537" ht="15.75" customHeight="1">
      <c r="A537" s="158"/>
      <c r="H537" s="2"/>
      <c r="S537" s="158"/>
      <c r="Z537" s="2"/>
    </row>
    <row r="538" ht="15.75" customHeight="1">
      <c r="A538" s="158"/>
      <c r="H538" s="2"/>
      <c r="S538" s="158"/>
      <c r="Z538" s="2"/>
    </row>
    <row r="539" ht="15.75" customHeight="1">
      <c r="A539" s="158"/>
      <c r="H539" s="2"/>
      <c r="S539" s="158"/>
      <c r="Z539" s="2"/>
    </row>
    <row r="540" ht="15.75" customHeight="1">
      <c r="A540" s="158"/>
      <c r="H540" s="2"/>
      <c r="S540" s="158"/>
      <c r="Z540" s="2"/>
    </row>
    <row r="541" ht="15.75" customHeight="1">
      <c r="A541" s="158"/>
      <c r="H541" s="2"/>
      <c r="S541" s="158"/>
      <c r="Z541" s="2"/>
    </row>
    <row r="542" ht="15.75" customHeight="1">
      <c r="A542" s="158"/>
      <c r="H542" s="2"/>
      <c r="S542" s="158"/>
      <c r="Z542" s="2"/>
    </row>
    <row r="543" ht="15.75" customHeight="1">
      <c r="A543" s="158"/>
      <c r="H543" s="2"/>
      <c r="S543" s="158"/>
      <c r="Z543" s="2"/>
    </row>
    <row r="544" ht="15.75" customHeight="1">
      <c r="A544" s="158"/>
      <c r="H544" s="2"/>
      <c r="S544" s="158"/>
      <c r="Z544" s="2"/>
    </row>
    <row r="545" ht="15.75" customHeight="1">
      <c r="A545" s="158"/>
      <c r="H545" s="2"/>
      <c r="S545" s="158"/>
      <c r="Z545" s="2"/>
    </row>
    <row r="546" ht="15.75" customHeight="1">
      <c r="A546" s="158"/>
      <c r="H546" s="2"/>
      <c r="S546" s="158"/>
      <c r="Z546" s="2"/>
    </row>
    <row r="547" ht="15.75" customHeight="1">
      <c r="A547" s="158"/>
      <c r="H547" s="2"/>
      <c r="S547" s="158"/>
      <c r="Z547" s="2"/>
    </row>
    <row r="548" ht="15.75" customHeight="1">
      <c r="A548" s="158"/>
      <c r="H548" s="2"/>
      <c r="S548" s="158"/>
      <c r="Z548" s="2"/>
    </row>
    <row r="549" ht="15.75" customHeight="1">
      <c r="A549" s="158"/>
      <c r="H549" s="2"/>
      <c r="S549" s="158"/>
      <c r="Z549" s="2"/>
    </row>
    <row r="550" ht="15.75" customHeight="1">
      <c r="A550" s="158"/>
      <c r="H550" s="2"/>
      <c r="S550" s="158"/>
      <c r="Z550" s="2"/>
    </row>
    <row r="551" ht="15.75" customHeight="1">
      <c r="A551" s="158"/>
      <c r="H551" s="2"/>
      <c r="S551" s="158"/>
      <c r="Z551" s="2"/>
    </row>
    <row r="552" ht="15.75" customHeight="1">
      <c r="A552" s="158"/>
      <c r="H552" s="2"/>
      <c r="S552" s="158"/>
      <c r="Z552" s="2"/>
    </row>
    <row r="553" ht="15.75" customHeight="1">
      <c r="A553" s="158"/>
      <c r="H553" s="2"/>
      <c r="S553" s="158"/>
      <c r="Z553" s="2"/>
    </row>
    <row r="554" ht="15.75" customHeight="1">
      <c r="A554" s="158"/>
      <c r="H554" s="2"/>
      <c r="S554" s="158"/>
      <c r="Z554" s="2"/>
    </row>
    <row r="555" ht="15.75" customHeight="1">
      <c r="A555" s="158"/>
      <c r="H555" s="2"/>
      <c r="S555" s="158"/>
      <c r="Z555" s="2"/>
    </row>
    <row r="556" ht="15.75" customHeight="1">
      <c r="A556" s="158"/>
      <c r="H556" s="2"/>
      <c r="S556" s="158"/>
      <c r="Z556" s="2"/>
    </row>
    <row r="557" ht="15.75" customHeight="1">
      <c r="A557" s="158"/>
      <c r="H557" s="2"/>
      <c r="S557" s="158"/>
      <c r="Z557" s="2"/>
    </row>
    <row r="558" ht="15.75" customHeight="1">
      <c r="A558" s="158"/>
      <c r="H558" s="2"/>
      <c r="S558" s="158"/>
      <c r="Z558" s="2"/>
    </row>
    <row r="559" ht="15.75" customHeight="1">
      <c r="A559" s="158"/>
      <c r="H559" s="2"/>
      <c r="S559" s="158"/>
      <c r="Z559" s="2"/>
    </row>
    <row r="560" ht="15.75" customHeight="1">
      <c r="A560" s="158"/>
      <c r="H560" s="2"/>
      <c r="S560" s="158"/>
      <c r="Z560" s="2"/>
    </row>
    <row r="561" ht="15.75" customHeight="1">
      <c r="A561" s="158"/>
      <c r="H561" s="2"/>
      <c r="S561" s="158"/>
      <c r="Z561" s="2"/>
    </row>
    <row r="562" ht="15.75" customHeight="1">
      <c r="A562" s="158"/>
      <c r="H562" s="2"/>
      <c r="S562" s="158"/>
      <c r="Z562" s="2"/>
    </row>
    <row r="563" ht="15.75" customHeight="1">
      <c r="A563" s="158"/>
      <c r="H563" s="2"/>
      <c r="S563" s="158"/>
      <c r="Z563" s="2"/>
    </row>
    <row r="564" ht="15.75" customHeight="1">
      <c r="A564" s="158"/>
      <c r="H564" s="2"/>
      <c r="S564" s="158"/>
      <c r="Z564" s="2"/>
    </row>
    <row r="565" ht="15.75" customHeight="1">
      <c r="A565" s="158"/>
      <c r="H565" s="2"/>
      <c r="S565" s="158"/>
      <c r="Z565" s="2"/>
    </row>
    <row r="566" ht="15.75" customHeight="1">
      <c r="A566" s="158"/>
      <c r="H566" s="2"/>
      <c r="S566" s="158"/>
      <c r="Z566" s="2"/>
    </row>
    <row r="567" ht="15.75" customHeight="1">
      <c r="A567" s="158"/>
      <c r="H567" s="2"/>
      <c r="S567" s="158"/>
      <c r="Z567" s="2"/>
    </row>
    <row r="568" ht="15.75" customHeight="1">
      <c r="A568" s="158"/>
      <c r="H568" s="2"/>
      <c r="S568" s="158"/>
      <c r="Z568" s="2"/>
    </row>
    <row r="569" ht="15.75" customHeight="1">
      <c r="A569" s="158"/>
      <c r="H569" s="2"/>
      <c r="S569" s="158"/>
      <c r="Z569" s="2"/>
    </row>
    <row r="570" ht="15.75" customHeight="1">
      <c r="A570" s="158"/>
      <c r="H570" s="2"/>
      <c r="S570" s="158"/>
      <c r="Z570" s="2"/>
    </row>
    <row r="571" ht="15.75" customHeight="1">
      <c r="A571" s="158"/>
      <c r="H571" s="2"/>
      <c r="S571" s="158"/>
      <c r="Z571" s="2"/>
    </row>
    <row r="572" ht="15.75" customHeight="1">
      <c r="A572" s="158"/>
      <c r="H572" s="2"/>
      <c r="S572" s="158"/>
      <c r="Z572" s="2"/>
    </row>
    <row r="573" ht="15.75" customHeight="1">
      <c r="A573" s="158"/>
      <c r="H573" s="2"/>
      <c r="S573" s="158"/>
      <c r="Z573" s="2"/>
    </row>
    <row r="574" ht="15.75" customHeight="1">
      <c r="A574" s="158"/>
      <c r="H574" s="2"/>
      <c r="S574" s="158"/>
      <c r="Z574" s="2"/>
    </row>
    <row r="575" ht="15.75" customHeight="1">
      <c r="A575" s="158"/>
      <c r="H575" s="2"/>
      <c r="S575" s="158"/>
      <c r="Z575" s="2"/>
    </row>
    <row r="576" ht="15.75" customHeight="1">
      <c r="A576" s="158"/>
      <c r="H576" s="2"/>
      <c r="S576" s="158"/>
      <c r="Z576" s="2"/>
    </row>
    <row r="577" ht="15.75" customHeight="1">
      <c r="A577" s="158"/>
      <c r="H577" s="2"/>
      <c r="S577" s="158"/>
      <c r="Z577" s="2"/>
    </row>
    <row r="578" ht="15.75" customHeight="1">
      <c r="A578" s="158"/>
      <c r="H578" s="2"/>
      <c r="S578" s="158"/>
      <c r="Z578" s="2"/>
    </row>
    <row r="579" ht="15.75" customHeight="1">
      <c r="A579" s="158"/>
      <c r="H579" s="2"/>
      <c r="S579" s="158"/>
      <c r="Z579" s="2"/>
    </row>
    <row r="580" ht="15.75" customHeight="1">
      <c r="A580" s="158"/>
      <c r="H580" s="2"/>
      <c r="S580" s="158"/>
      <c r="Z580" s="2"/>
    </row>
    <row r="581" ht="15.75" customHeight="1">
      <c r="A581" s="158"/>
      <c r="H581" s="2"/>
      <c r="S581" s="158"/>
      <c r="Z581" s="2"/>
    </row>
    <row r="582" ht="15.75" customHeight="1">
      <c r="A582" s="158"/>
      <c r="H582" s="2"/>
      <c r="S582" s="158"/>
      <c r="Z582" s="2"/>
    </row>
    <row r="583" ht="15.75" customHeight="1">
      <c r="A583" s="158"/>
      <c r="H583" s="2"/>
      <c r="S583" s="158"/>
      <c r="Z583" s="2"/>
    </row>
    <row r="584" ht="15.75" customHeight="1">
      <c r="A584" s="158"/>
      <c r="H584" s="2"/>
      <c r="S584" s="158"/>
      <c r="Z584" s="2"/>
    </row>
    <row r="585" ht="15.75" customHeight="1">
      <c r="A585" s="158"/>
      <c r="H585" s="2"/>
      <c r="S585" s="158"/>
      <c r="Z585" s="2"/>
    </row>
    <row r="586" ht="15.75" customHeight="1">
      <c r="A586" s="158"/>
      <c r="H586" s="2"/>
      <c r="S586" s="158"/>
      <c r="Z586" s="2"/>
    </row>
    <row r="587" ht="15.75" customHeight="1">
      <c r="A587" s="158"/>
      <c r="H587" s="2"/>
      <c r="S587" s="158"/>
      <c r="Z587" s="2"/>
    </row>
    <row r="588" ht="15.75" customHeight="1">
      <c r="A588" s="158"/>
      <c r="H588" s="2"/>
      <c r="S588" s="158"/>
      <c r="Z588" s="2"/>
    </row>
    <row r="589" ht="15.75" customHeight="1">
      <c r="A589" s="158"/>
      <c r="H589" s="2"/>
      <c r="S589" s="158"/>
      <c r="Z589" s="2"/>
    </row>
    <row r="590" ht="15.75" customHeight="1">
      <c r="A590" s="158"/>
      <c r="H590" s="2"/>
      <c r="S590" s="158"/>
      <c r="Z590" s="2"/>
    </row>
    <row r="591" ht="15.75" customHeight="1">
      <c r="A591" s="158"/>
      <c r="H591" s="2"/>
      <c r="S591" s="158"/>
      <c r="Z591" s="2"/>
    </row>
    <row r="592" ht="15.75" customHeight="1">
      <c r="A592" s="158"/>
      <c r="H592" s="2"/>
      <c r="S592" s="158"/>
      <c r="Z592" s="2"/>
    </row>
    <row r="593" ht="15.75" customHeight="1">
      <c r="A593" s="158"/>
      <c r="H593" s="2"/>
      <c r="S593" s="158"/>
      <c r="Z593" s="2"/>
    </row>
    <row r="594" ht="15.75" customHeight="1">
      <c r="A594" s="158"/>
      <c r="H594" s="2"/>
      <c r="S594" s="158"/>
      <c r="Z594" s="2"/>
    </row>
    <row r="595" ht="15.75" customHeight="1">
      <c r="A595" s="158"/>
      <c r="H595" s="2"/>
      <c r="S595" s="158"/>
      <c r="Z595" s="2"/>
    </row>
    <row r="596" ht="15.75" customHeight="1">
      <c r="A596" s="158"/>
      <c r="H596" s="2"/>
      <c r="S596" s="158"/>
      <c r="Z596" s="2"/>
    </row>
    <row r="597" ht="15.75" customHeight="1">
      <c r="A597" s="158"/>
      <c r="H597" s="2"/>
      <c r="S597" s="158"/>
      <c r="Z597" s="2"/>
    </row>
    <row r="598" ht="15.75" customHeight="1">
      <c r="A598" s="158"/>
      <c r="H598" s="2"/>
      <c r="S598" s="158"/>
      <c r="Z598" s="2"/>
    </row>
    <row r="599" ht="15.75" customHeight="1">
      <c r="A599" s="158"/>
      <c r="H599" s="2"/>
      <c r="S599" s="158"/>
      <c r="Z599" s="2"/>
    </row>
    <row r="600" ht="15.75" customHeight="1">
      <c r="A600" s="158"/>
      <c r="H600" s="2"/>
      <c r="S600" s="158"/>
      <c r="Z600" s="2"/>
    </row>
    <row r="601" ht="15.75" customHeight="1">
      <c r="A601" s="158"/>
      <c r="H601" s="2"/>
      <c r="S601" s="158"/>
      <c r="Z601" s="2"/>
    </row>
    <row r="602" ht="15.75" customHeight="1">
      <c r="A602" s="158"/>
      <c r="H602" s="2"/>
      <c r="S602" s="158"/>
      <c r="Z602" s="2"/>
    </row>
    <row r="603" ht="15.75" customHeight="1">
      <c r="A603" s="158"/>
      <c r="H603" s="2"/>
      <c r="S603" s="158"/>
      <c r="Z603" s="2"/>
    </row>
    <row r="604" ht="15.75" customHeight="1">
      <c r="A604" s="158"/>
      <c r="H604" s="2"/>
      <c r="S604" s="158"/>
      <c r="Z604" s="2"/>
    </row>
    <row r="605" ht="15.75" customHeight="1">
      <c r="A605" s="158"/>
      <c r="H605" s="2"/>
      <c r="S605" s="158"/>
      <c r="Z605" s="2"/>
    </row>
    <row r="606" ht="15.75" customHeight="1">
      <c r="A606" s="158"/>
      <c r="H606" s="2"/>
      <c r="S606" s="158"/>
      <c r="Z606" s="2"/>
    </row>
    <row r="607" ht="15.75" customHeight="1">
      <c r="A607" s="158"/>
      <c r="H607" s="2"/>
      <c r="S607" s="158"/>
      <c r="Z607" s="2"/>
    </row>
    <row r="608" ht="15.75" customHeight="1">
      <c r="A608" s="158"/>
      <c r="H608" s="2"/>
      <c r="S608" s="158"/>
      <c r="Z608" s="2"/>
    </row>
    <row r="609" ht="15.75" customHeight="1">
      <c r="A609" s="158"/>
      <c r="H609" s="2"/>
      <c r="S609" s="158"/>
      <c r="Z609" s="2"/>
    </row>
    <row r="610" ht="15.75" customHeight="1">
      <c r="A610" s="158"/>
      <c r="H610" s="2"/>
      <c r="S610" s="158"/>
      <c r="Z610" s="2"/>
    </row>
    <row r="611" ht="15.75" customHeight="1">
      <c r="A611" s="158"/>
      <c r="H611" s="2"/>
      <c r="S611" s="158"/>
      <c r="Z611" s="2"/>
    </row>
    <row r="612" ht="15.75" customHeight="1">
      <c r="A612" s="158"/>
      <c r="H612" s="2"/>
      <c r="S612" s="158"/>
      <c r="Z612" s="2"/>
    </row>
    <row r="613" ht="15.75" customHeight="1">
      <c r="A613" s="158"/>
      <c r="H613" s="2"/>
      <c r="S613" s="158"/>
      <c r="Z613" s="2"/>
    </row>
    <row r="614" ht="15.75" customHeight="1">
      <c r="A614" s="158"/>
      <c r="H614" s="2"/>
      <c r="S614" s="158"/>
      <c r="Z614" s="2"/>
    </row>
    <row r="615" ht="15.75" customHeight="1">
      <c r="A615" s="158"/>
      <c r="H615" s="2"/>
      <c r="S615" s="158"/>
      <c r="Z615" s="2"/>
    </row>
    <row r="616" ht="15.75" customHeight="1">
      <c r="A616" s="158"/>
      <c r="H616" s="2"/>
      <c r="S616" s="158"/>
      <c r="Z616" s="2"/>
    </row>
    <row r="617" ht="15.75" customHeight="1">
      <c r="A617" s="158"/>
      <c r="H617" s="2"/>
      <c r="S617" s="158"/>
      <c r="Z617" s="2"/>
    </row>
    <row r="618" ht="15.75" customHeight="1">
      <c r="A618" s="158"/>
      <c r="H618" s="2"/>
      <c r="S618" s="158"/>
      <c r="Z618" s="2"/>
    </row>
    <row r="619" ht="15.75" customHeight="1">
      <c r="A619" s="158"/>
      <c r="H619" s="2"/>
      <c r="S619" s="158"/>
      <c r="Z619" s="2"/>
    </row>
    <row r="620" ht="15.75" customHeight="1">
      <c r="A620" s="158"/>
      <c r="H620" s="2"/>
      <c r="S620" s="158"/>
      <c r="Z620" s="2"/>
    </row>
    <row r="621" ht="15.75" customHeight="1">
      <c r="A621" s="158"/>
      <c r="H621" s="2"/>
      <c r="S621" s="158"/>
      <c r="Z621" s="2"/>
    </row>
    <row r="622" ht="15.75" customHeight="1">
      <c r="A622" s="158"/>
      <c r="H622" s="2"/>
      <c r="S622" s="158"/>
      <c r="Z622" s="2"/>
    </row>
    <row r="623" ht="15.75" customHeight="1">
      <c r="A623" s="158"/>
      <c r="H623" s="2"/>
      <c r="S623" s="158"/>
      <c r="Z623" s="2"/>
    </row>
    <row r="624" ht="15.75" customHeight="1">
      <c r="A624" s="158"/>
      <c r="H624" s="2"/>
      <c r="S624" s="158"/>
      <c r="Z624" s="2"/>
    </row>
    <row r="625" ht="15.75" customHeight="1">
      <c r="A625" s="158"/>
      <c r="H625" s="2"/>
      <c r="S625" s="158"/>
      <c r="Z625" s="2"/>
    </row>
    <row r="626" ht="15.75" customHeight="1">
      <c r="A626" s="158"/>
      <c r="H626" s="2"/>
      <c r="S626" s="158"/>
      <c r="Z626" s="2"/>
    </row>
    <row r="627" ht="15.75" customHeight="1">
      <c r="A627" s="158"/>
      <c r="H627" s="2"/>
      <c r="S627" s="158"/>
      <c r="Z627" s="2"/>
    </row>
    <row r="628" ht="15.75" customHeight="1">
      <c r="A628" s="158"/>
      <c r="H628" s="2"/>
      <c r="S628" s="158"/>
      <c r="Z628" s="2"/>
    </row>
    <row r="629" ht="15.75" customHeight="1">
      <c r="A629" s="158"/>
      <c r="H629" s="2"/>
      <c r="S629" s="158"/>
      <c r="Z629" s="2"/>
    </row>
    <row r="630" ht="15.75" customHeight="1">
      <c r="A630" s="158"/>
      <c r="H630" s="2"/>
      <c r="S630" s="158"/>
      <c r="Z630" s="2"/>
    </row>
    <row r="631" ht="15.75" customHeight="1">
      <c r="A631" s="158"/>
      <c r="H631" s="2"/>
      <c r="S631" s="158"/>
      <c r="Z631" s="2"/>
    </row>
    <row r="632" ht="15.75" customHeight="1">
      <c r="A632" s="158"/>
      <c r="H632" s="2"/>
      <c r="S632" s="158"/>
      <c r="Z632" s="2"/>
    </row>
    <row r="633" ht="15.75" customHeight="1">
      <c r="A633" s="158"/>
      <c r="H633" s="2"/>
      <c r="S633" s="158"/>
      <c r="Z633" s="2"/>
    </row>
    <row r="634" ht="15.75" customHeight="1">
      <c r="A634" s="158"/>
      <c r="H634" s="2"/>
      <c r="S634" s="158"/>
      <c r="Z634" s="2"/>
    </row>
    <row r="635" ht="15.75" customHeight="1">
      <c r="A635" s="158"/>
      <c r="H635" s="2"/>
      <c r="S635" s="158"/>
      <c r="Z635" s="2"/>
    </row>
    <row r="636" ht="15.75" customHeight="1">
      <c r="A636" s="158"/>
      <c r="H636" s="2"/>
      <c r="S636" s="158"/>
      <c r="Z636" s="2"/>
    </row>
    <row r="637" ht="15.75" customHeight="1">
      <c r="A637" s="158"/>
      <c r="H637" s="2"/>
      <c r="S637" s="158"/>
      <c r="Z637" s="2"/>
    </row>
    <row r="638" ht="15.75" customHeight="1">
      <c r="A638" s="158"/>
      <c r="H638" s="2"/>
      <c r="S638" s="158"/>
      <c r="Z638" s="2"/>
    </row>
    <row r="639" ht="15.75" customHeight="1">
      <c r="A639" s="158"/>
      <c r="H639" s="2"/>
      <c r="S639" s="158"/>
      <c r="Z639" s="2"/>
    </row>
    <row r="640" ht="15.75" customHeight="1">
      <c r="A640" s="158"/>
      <c r="H640" s="2"/>
      <c r="S640" s="158"/>
      <c r="Z640" s="2"/>
    </row>
    <row r="641" ht="15.75" customHeight="1">
      <c r="A641" s="158"/>
      <c r="H641" s="2"/>
      <c r="S641" s="158"/>
      <c r="Z641" s="2"/>
    </row>
    <row r="642" ht="15.75" customHeight="1">
      <c r="A642" s="158"/>
      <c r="H642" s="2"/>
      <c r="S642" s="158"/>
      <c r="Z642" s="2"/>
    </row>
    <row r="643" ht="15.75" customHeight="1">
      <c r="A643" s="158"/>
      <c r="H643" s="2"/>
      <c r="S643" s="158"/>
      <c r="Z643" s="2"/>
    </row>
    <row r="644" ht="15.75" customHeight="1">
      <c r="A644" s="158"/>
      <c r="H644" s="2"/>
      <c r="S644" s="158"/>
      <c r="Z644" s="2"/>
    </row>
    <row r="645" ht="15.75" customHeight="1">
      <c r="A645" s="158"/>
      <c r="H645" s="2"/>
      <c r="S645" s="158"/>
      <c r="Z645" s="2"/>
    </row>
    <row r="646" ht="15.75" customHeight="1">
      <c r="A646" s="158"/>
      <c r="H646" s="2"/>
      <c r="S646" s="158"/>
      <c r="Z646" s="2"/>
    </row>
    <row r="647" ht="15.75" customHeight="1">
      <c r="A647" s="158"/>
      <c r="H647" s="2"/>
      <c r="S647" s="158"/>
      <c r="Z647" s="2"/>
    </row>
    <row r="648" ht="15.75" customHeight="1">
      <c r="A648" s="158"/>
      <c r="H648" s="2"/>
      <c r="S648" s="158"/>
      <c r="Z648" s="2"/>
    </row>
    <row r="649" ht="15.75" customHeight="1">
      <c r="A649" s="158"/>
      <c r="H649" s="2"/>
      <c r="S649" s="158"/>
      <c r="Z649" s="2"/>
    </row>
    <row r="650" ht="15.75" customHeight="1">
      <c r="A650" s="158"/>
      <c r="H650" s="2"/>
      <c r="S650" s="158"/>
      <c r="Z650" s="2"/>
    </row>
    <row r="651" ht="15.75" customHeight="1">
      <c r="A651" s="158"/>
      <c r="H651" s="2"/>
      <c r="S651" s="158"/>
      <c r="Z651" s="2"/>
    </row>
    <row r="652" ht="15.75" customHeight="1">
      <c r="A652" s="158"/>
      <c r="H652" s="2"/>
      <c r="S652" s="158"/>
      <c r="Z652" s="2"/>
    </row>
    <row r="653" ht="15.75" customHeight="1">
      <c r="A653" s="158"/>
      <c r="H653" s="2"/>
      <c r="S653" s="158"/>
      <c r="Z653" s="2"/>
    </row>
    <row r="654" ht="15.75" customHeight="1">
      <c r="A654" s="158"/>
      <c r="H654" s="2"/>
      <c r="S654" s="158"/>
      <c r="Z654" s="2"/>
    </row>
    <row r="655" ht="15.75" customHeight="1">
      <c r="A655" s="158"/>
      <c r="H655" s="2"/>
      <c r="S655" s="158"/>
      <c r="Z655" s="2"/>
    </row>
    <row r="656" ht="15.75" customHeight="1">
      <c r="A656" s="158"/>
      <c r="H656" s="2"/>
      <c r="S656" s="158"/>
      <c r="Z656" s="2"/>
    </row>
    <row r="657" ht="15.75" customHeight="1">
      <c r="A657" s="158"/>
      <c r="H657" s="2"/>
      <c r="S657" s="158"/>
      <c r="Z657" s="2"/>
    </row>
    <row r="658" ht="15.75" customHeight="1">
      <c r="A658" s="158"/>
      <c r="H658" s="2"/>
      <c r="S658" s="158"/>
      <c r="Z658" s="2"/>
    </row>
    <row r="659" ht="15.75" customHeight="1">
      <c r="A659" s="158"/>
      <c r="H659" s="2"/>
      <c r="S659" s="158"/>
      <c r="Z659" s="2"/>
    </row>
    <row r="660" ht="15.75" customHeight="1">
      <c r="A660" s="158"/>
      <c r="H660" s="2"/>
      <c r="S660" s="158"/>
      <c r="Z660" s="2"/>
    </row>
    <row r="661" ht="15.75" customHeight="1">
      <c r="A661" s="158"/>
      <c r="H661" s="2"/>
      <c r="S661" s="158"/>
      <c r="Z661" s="2"/>
    </row>
    <row r="662" ht="15.75" customHeight="1">
      <c r="A662" s="158"/>
      <c r="H662" s="2"/>
      <c r="S662" s="158"/>
      <c r="Z662" s="2"/>
    </row>
    <row r="663" ht="15.75" customHeight="1">
      <c r="A663" s="158"/>
      <c r="H663" s="2"/>
      <c r="S663" s="158"/>
      <c r="Z663" s="2"/>
    </row>
    <row r="664" ht="15.75" customHeight="1">
      <c r="A664" s="158"/>
      <c r="H664" s="2"/>
      <c r="S664" s="158"/>
      <c r="Z664" s="2"/>
    </row>
    <row r="665" ht="15.75" customHeight="1">
      <c r="A665" s="158"/>
      <c r="H665" s="2"/>
      <c r="S665" s="158"/>
      <c r="Z665" s="2"/>
    </row>
    <row r="666" ht="15.75" customHeight="1">
      <c r="A666" s="158"/>
      <c r="H666" s="2"/>
      <c r="S666" s="158"/>
      <c r="Z666" s="2"/>
    </row>
    <row r="667" ht="15.75" customHeight="1">
      <c r="A667" s="158"/>
      <c r="H667" s="2"/>
      <c r="S667" s="158"/>
      <c r="Z667" s="2"/>
    </row>
    <row r="668" ht="15.75" customHeight="1">
      <c r="A668" s="158"/>
      <c r="H668" s="2"/>
      <c r="S668" s="158"/>
      <c r="Z668" s="2"/>
    </row>
    <row r="669" ht="15.75" customHeight="1">
      <c r="A669" s="158"/>
      <c r="H669" s="2"/>
      <c r="S669" s="158"/>
      <c r="Z669" s="2"/>
    </row>
    <row r="670" ht="15.75" customHeight="1">
      <c r="A670" s="158"/>
      <c r="H670" s="2"/>
      <c r="S670" s="158"/>
      <c r="Z670" s="2"/>
    </row>
    <row r="671" ht="15.75" customHeight="1">
      <c r="A671" s="158"/>
      <c r="H671" s="2"/>
      <c r="S671" s="158"/>
      <c r="Z671" s="2"/>
    </row>
    <row r="672" ht="15.75" customHeight="1">
      <c r="A672" s="158"/>
      <c r="H672" s="2"/>
      <c r="S672" s="158"/>
      <c r="Z672" s="2"/>
    </row>
    <row r="673" ht="15.75" customHeight="1">
      <c r="A673" s="158"/>
      <c r="H673" s="2"/>
      <c r="S673" s="158"/>
      <c r="Z673" s="2"/>
    </row>
    <row r="674" ht="15.75" customHeight="1">
      <c r="A674" s="158"/>
      <c r="H674" s="2"/>
      <c r="S674" s="158"/>
      <c r="Z674" s="2"/>
    </row>
    <row r="675" ht="15.75" customHeight="1">
      <c r="A675" s="158"/>
      <c r="H675" s="2"/>
      <c r="S675" s="158"/>
      <c r="Z675" s="2"/>
    </row>
    <row r="676" ht="15.75" customHeight="1">
      <c r="A676" s="158"/>
      <c r="H676" s="2"/>
      <c r="S676" s="158"/>
      <c r="Z676" s="2"/>
    </row>
    <row r="677" ht="15.75" customHeight="1">
      <c r="A677" s="158"/>
      <c r="H677" s="2"/>
      <c r="S677" s="158"/>
      <c r="Z677" s="2"/>
    </row>
    <row r="678" ht="15.75" customHeight="1">
      <c r="A678" s="158"/>
      <c r="H678" s="2"/>
      <c r="S678" s="158"/>
      <c r="Z678" s="2"/>
    </row>
    <row r="679" ht="15.75" customHeight="1">
      <c r="A679" s="158"/>
      <c r="H679" s="2"/>
      <c r="S679" s="158"/>
      <c r="Z679" s="2"/>
    </row>
    <row r="680" ht="15.75" customHeight="1">
      <c r="A680" s="158"/>
      <c r="H680" s="2"/>
      <c r="S680" s="158"/>
      <c r="Z680" s="2"/>
    </row>
    <row r="681" ht="15.75" customHeight="1">
      <c r="A681" s="158"/>
      <c r="H681" s="2"/>
      <c r="S681" s="158"/>
      <c r="Z681" s="2"/>
    </row>
    <row r="682" ht="15.75" customHeight="1">
      <c r="A682" s="158"/>
      <c r="H682" s="2"/>
      <c r="S682" s="158"/>
      <c r="Z682" s="2"/>
    </row>
    <row r="683" ht="15.75" customHeight="1">
      <c r="A683" s="158"/>
      <c r="H683" s="2"/>
      <c r="S683" s="158"/>
      <c r="Z683" s="2"/>
    </row>
    <row r="684" ht="15.75" customHeight="1">
      <c r="A684" s="158"/>
      <c r="H684" s="2"/>
      <c r="S684" s="158"/>
      <c r="Z684" s="2"/>
    </row>
    <row r="685" ht="15.75" customHeight="1">
      <c r="A685" s="158"/>
      <c r="H685" s="2"/>
      <c r="S685" s="158"/>
      <c r="Z685" s="2"/>
    </row>
    <row r="686" ht="15.75" customHeight="1">
      <c r="A686" s="158"/>
      <c r="H686" s="2"/>
      <c r="S686" s="158"/>
      <c r="Z686" s="2"/>
    </row>
    <row r="687" ht="15.75" customHeight="1">
      <c r="A687" s="158"/>
      <c r="H687" s="2"/>
      <c r="S687" s="158"/>
      <c r="Z687" s="2"/>
    </row>
    <row r="688" ht="15.75" customHeight="1">
      <c r="A688" s="158"/>
      <c r="H688" s="2"/>
      <c r="S688" s="158"/>
      <c r="Z688" s="2"/>
    </row>
    <row r="689" ht="15.75" customHeight="1">
      <c r="A689" s="158"/>
      <c r="H689" s="2"/>
      <c r="S689" s="158"/>
      <c r="Z689" s="2"/>
    </row>
    <row r="690" ht="15.75" customHeight="1">
      <c r="A690" s="158"/>
      <c r="H690" s="2"/>
      <c r="S690" s="158"/>
      <c r="Z690" s="2"/>
    </row>
    <row r="691" ht="15.75" customHeight="1">
      <c r="A691" s="158"/>
      <c r="H691" s="2"/>
      <c r="S691" s="158"/>
      <c r="Z691" s="2"/>
    </row>
    <row r="692" ht="15.75" customHeight="1">
      <c r="A692" s="158"/>
      <c r="H692" s="2"/>
      <c r="S692" s="158"/>
      <c r="Z692" s="2"/>
    </row>
    <row r="693" ht="15.75" customHeight="1">
      <c r="A693" s="158"/>
      <c r="H693" s="2"/>
      <c r="S693" s="158"/>
      <c r="Z693" s="2"/>
    </row>
    <row r="694" ht="15.75" customHeight="1">
      <c r="A694" s="158"/>
      <c r="H694" s="2"/>
      <c r="S694" s="158"/>
      <c r="Z694" s="2"/>
    </row>
    <row r="695" ht="15.75" customHeight="1">
      <c r="A695" s="158"/>
      <c r="H695" s="2"/>
      <c r="S695" s="158"/>
      <c r="Z695" s="2"/>
    </row>
    <row r="696" ht="15.75" customHeight="1">
      <c r="A696" s="158"/>
      <c r="H696" s="2"/>
      <c r="S696" s="158"/>
      <c r="Z696" s="2"/>
    </row>
    <row r="697" ht="15.75" customHeight="1">
      <c r="A697" s="158"/>
      <c r="H697" s="2"/>
      <c r="S697" s="158"/>
      <c r="Z697" s="2"/>
    </row>
    <row r="698" ht="15.75" customHeight="1">
      <c r="A698" s="158"/>
      <c r="H698" s="2"/>
      <c r="S698" s="158"/>
      <c r="Z698" s="2"/>
    </row>
    <row r="699" ht="15.75" customHeight="1">
      <c r="A699" s="158"/>
      <c r="H699" s="2"/>
      <c r="S699" s="158"/>
      <c r="Z699" s="2"/>
    </row>
    <row r="700" ht="15.75" customHeight="1">
      <c r="A700" s="158"/>
      <c r="H700" s="2"/>
      <c r="S700" s="158"/>
      <c r="Z700" s="2"/>
    </row>
    <row r="701" ht="15.75" customHeight="1">
      <c r="A701" s="158"/>
      <c r="H701" s="2"/>
      <c r="S701" s="158"/>
      <c r="Z701" s="2"/>
    </row>
    <row r="702" ht="15.75" customHeight="1">
      <c r="A702" s="158"/>
      <c r="H702" s="2"/>
      <c r="S702" s="158"/>
      <c r="Z702" s="2"/>
    </row>
    <row r="703" ht="15.75" customHeight="1">
      <c r="A703" s="158"/>
      <c r="H703" s="2"/>
      <c r="S703" s="158"/>
      <c r="Z703" s="2"/>
    </row>
    <row r="704" ht="15.75" customHeight="1">
      <c r="A704" s="158"/>
      <c r="H704" s="2"/>
      <c r="S704" s="158"/>
      <c r="Z704" s="2"/>
    </row>
    <row r="705" ht="15.75" customHeight="1">
      <c r="A705" s="158"/>
      <c r="H705" s="2"/>
      <c r="S705" s="158"/>
      <c r="Z705" s="2"/>
    </row>
    <row r="706" ht="15.75" customHeight="1">
      <c r="A706" s="158"/>
      <c r="H706" s="2"/>
      <c r="S706" s="158"/>
      <c r="Z706" s="2"/>
    </row>
    <row r="707" ht="15.75" customHeight="1">
      <c r="A707" s="158"/>
      <c r="H707" s="2"/>
      <c r="S707" s="158"/>
      <c r="Z707" s="2"/>
    </row>
    <row r="708" ht="15.75" customHeight="1">
      <c r="A708" s="158"/>
      <c r="H708" s="2"/>
      <c r="S708" s="158"/>
      <c r="Z708" s="2"/>
    </row>
    <row r="709" ht="15.75" customHeight="1">
      <c r="A709" s="158"/>
      <c r="H709" s="2"/>
      <c r="S709" s="158"/>
      <c r="Z709" s="2"/>
    </row>
    <row r="710" ht="15.75" customHeight="1">
      <c r="A710" s="158"/>
      <c r="H710" s="2"/>
      <c r="S710" s="158"/>
      <c r="Z710" s="2"/>
    </row>
    <row r="711" ht="15.75" customHeight="1">
      <c r="A711" s="158"/>
      <c r="H711" s="2"/>
      <c r="S711" s="158"/>
      <c r="Z711" s="2"/>
    </row>
    <row r="712" ht="15.75" customHeight="1">
      <c r="A712" s="158"/>
      <c r="H712" s="2"/>
      <c r="S712" s="158"/>
      <c r="Z712" s="2"/>
    </row>
    <row r="713" ht="15.75" customHeight="1">
      <c r="A713" s="158"/>
      <c r="H713" s="2"/>
      <c r="S713" s="158"/>
      <c r="Z713" s="2"/>
    </row>
    <row r="714" ht="15.75" customHeight="1">
      <c r="A714" s="158"/>
      <c r="H714" s="2"/>
      <c r="S714" s="158"/>
      <c r="Z714" s="2"/>
    </row>
    <row r="715" ht="15.75" customHeight="1">
      <c r="A715" s="158"/>
      <c r="H715" s="2"/>
      <c r="S715" s="158"/>
      <c r="Z715" s="2"/>
    </row>
    <row r="716" ht="15.75" customHeight="1">
      <c r="A716" s="158"/>
      <c r="H716" s="2"/>
      <c r="S716" s="158"/>
      <c r="Z716" s="2"/>
    </row>
    <row r="717" ht="15.75" customHeight="1">
      <c r="A717" s="158"/>
      <c r="H717" s="2"/>
      <c r="S717" s="158"/>
      <c r="Z717" s="2"/>
    </row>
    <row r="718" ht="15.75" customHeight="1">
      <c r="A718" s="158"/>
      <c r="H718" s="2"/>
      <c r="S718" s="158"/>
      <c r="Z718" s="2"/>
    </row>
    <row r="719" ht="15.75" customHeight="1">
      <c r="A719" s="158"/>
      <c r="H719" s="2"/>
      <c r="S719" s="158"/>
      <c r="Z719" s="2"/>
    </row>
    <row r="720" ht="15.75" customHeight="1">
      <c r="A720" s="158"/>
      <c r="H720" s="2"/>
      <c r="S720" s="158"/>
      <c r="Z720" s="2"/>
    </row>
    <row r="721" ht="15.75" customHeight="1">
      <c r="A721" s="158"/>
      <c r="H721" s="2"/>
      <c r="S721" s="158"/>
      <c r="Z721" s="2"/>
    </row>
    <row r="722" ht="15.75" customHeight="1">
      <c r="A722" s="158"/>
      <c r="H722" s="2"/>
      <c r="S722" s="158"/>
      <c r="Z722" s="2"/>
    </row>
    <row r="723" ht="15.75" customHeight="1">
      <c r="A723" s="158"/>
      <c r="H723" s="2"/>
      <c r="S723" s="158"/>
      <c r="Z723" s="2"/>
    </row>
    <row r="724" ht="15.75" customHeight="1">
      <c r="A724" s="158"/>
      <c r="H724" s="2"/>
      <c r="S724" s="158"/>
      <c r="Z724" s="2"/>
    </row>
    <row r="725" ht="15.75" customHeight="1">
      <c r="A725" s="158"/>
      <c r="H725" s="2"/>
      <c r="S725" s="158"/>
      <c r="Z725" s="2"/>
    </row>
    <row r="726" ht="15.75" customHeight="1">
      <c r="A726" s="158"/>
      <c r="H726" s="2"/>
      <c r="S726" s="158"/>
      <c r="Z726" s="2"/>
    </row>
    <row r="727" ht="15.75" customHeight="1">
      <c r="A727" s="158"/>
      <c r="H727" s="2"/>
      <c r="S727" s="158"/>
      <c r="Z727" s="2"/>
    </row>
    <row r="728" ht="15.75" customHeight="1">
      <c r="A728" s="158"/>
      <c r="H728" s="2"/>
      <c r="S728" s="158"/>
      <c r="Z728" s="2"/>
    </row>
    <row r="729" ht="15.75" customHeight="1">
      <c r="A729" s="158"/>
      <c r="H729" s="2"/>
      <c r="S729" s="158"/>
      <c r="Z729" s="2"/>
    </row>
    <row r="730" ht="15.75" customHeight="1">
      <c r="A730" s="158"/>
      <c r="H730" s="2"/>
      <c r="S730" s="158"/>
      <c r="Z730" s="2"/>
    </row>
    <row r="731" ht="15.75" customHeight="1">
      <c r="A731" s="158"/>
      <c r="H731" s="2"/>
      <c r="S731" s="158"/>
      <c r="Z731" s="2"/>
    </row>
    <row r="732" ht="15.75" customHeight="1">
      <c r="A732" s="158"/>
      <c r="H732" s="2"/>
      <c r="S732" s="158"/>
      <c r="Z732" s="2"/>
    </row>
    <row r="733" ht="15.75" customHeight="1">
      <c r="A733" s="158"/>
      <c r="H733" s="2"/>
      <c r="S733" s="158"/>
      <c r="Z733" s="2"/>
    </row>
    <row r="734" ht="15.75" customHeight="1">
      <c r="A734" s="158"/>
      <c r="H734" s="2"/>
      <c r="S734" s="158"/>
      <c r="Z734" s="2"/>
    </row>
    <row r="735" ht="15.75" customHeight="1">
      <c r="A735" s="158"/>
      <c r="H735" s="2"/>
      <c r="S735" s="158"/>
      <c r="Z735" s="2"/>
    </row>
    <row r="736" ht="15.75" customHeight="1">
      <c r="A736" s="158"/>
      <c r="H736" s="2"/>
      <c r="S736" s="158"/>
      <c r="Z736" s="2"/>
    </row>
    <row r="737" ht="15.75" customHeight="1">
      <c r="A737" s="158"/>
      <c r="H737" s="2"/>
      <c r="S737" s="158"/>
      <c r="Z737" s="2"/>
    </row>
    <row r="738" ht="15.75" customHeight="1">
      <c r="A738" s="158"/>
      <c r="H738" s="2"/>
      <c r="S738" s="158"/>
      <c r="Z738" s="2"/>
    </row>
    <row r="739" ht="15.75" customHeight="1">
      <c r="A739" s="158"/>
      <c r="H739" s="2"/>
      <c r="S739" s="158"/>
      <c r="Z739" s="2"/>
    </row>
    <row r="740" ht="15.75" customHeight="1">
      <c r="A740" s="158"/>
      <c r="H740" s="2"/>
      <c r="S740" s="158"/>
      <c r="Z740" s="2"/>
    </row>
    <row r="741" ht="15.75" customHeight="1">
      <c r="A741" s="158"/>
      <c r="H741" s="2"/>
      <c r="S741" s="158"/>
      <c r="Z741" s="2"/>
    </row>
    <row r="742" ht="15.75" customHeight="1">
      <c r="A742" s="158"/>
      <c r="H742" s="2"/>
      <c r="S742" s="158"/>
      <c r="Z742" s="2"/>
    </row>
    <row r="743" ht="15.75" customHeight="1">
      <c r="A743" s="158"/>
      <c r="H743" s="2"/>
      <c r="S743" s="158"/>
      <c r="Z743" s="2"/>
    </row>
    <row r="744" ht="15.75" customHeight="1">
      <c r="A744" s="158"/>
      <c r="H744" s="2"/>
      <c r="S744" s="158"/>
      <c r="Z744" s="2"/>
    </row>
    <row r="745" ht="15.75" customHeight="1">
      <c r="A745" s="158"/>
      <c r="H745" s="2"/>
      <c r="S745" s="158"/>
      <c r="Z745" s="2"/>
    </row>
    <row r="746" ht="15.75" customHeight="1">
      <c r="A746" s="158"/>
      <c r="H746" s="2"/>
      <c r="S746" s="158"/>
      <c r="Z746" s="2"/>
    </row>
    <row r="747" ht="15.75" customHeight="1">
      <c r="A747" s="158"/>
      <c r="H747" s="2"/>
      <c r="S747" s="158"/>
      <c r="Z747" s="2"/>
    </row>
    <row r="748" ht="15.75" customHeight="1">
      <c r="A748" s="158"/>
      <c r="H748" s="2"/>
      <c r="S748" s="158"/>
      <c r="Z748" s="2"/>
    </row>
    <row r="749" ht="15.75" customHeight="1">
      <c r="A749" s="158"/>
      <c r="H749" s="2"/>
      <c r="S749" s="158"/>
      <c r="Z749" s="2"/>
    </row>
    <row r="750" ht="15.75" customHeight="1">
      <c r="A750" s="158"/>
      <c r="H750" s="2"/>
      <c r="S750" s="158"/>
      <c r="Z750" s="2"/>
    </row>
    <row r="751" ht="15.75" customHeight="1">
      <c r="A751" s="158"/>
      <c r="H751" s="2"/>
      <c r="S751" s="158"/>
      <c r="Z751" s="2"/>
    </row>
    <row r="752" ht="15.75" customHeight="1">
      <c r="A752" s="158"/>
      <c r="H752" s="2"/>
      <c r="S752" s="158"/>
      <c r="Z752" s="2"/>
    </row>
    <row r="753" ht="15.75" customHeight="1">
      <c r="A753" s="158"/>
      <c r="H753" s="2"/>
      <c r="S753" s="158"/>
      <c r="Z753" s="2"/>
    </row>
    <row r="754" ht="15.75" customHeight="1">
      <c r="A754" s="158"/>
      <c r="H754" s="2"/>
      <c r="S754" s="158"/>
      <c r="Z754" s="2"/>
    </row>
    <row r="755" ht="15.75" customHeight="1">
      <c r="A755" s="158"/>
      <c r="H755" s="2"/>
      <c r="S755" s="158"/>
      <c r="Z755" s="2"/>
    </row>
    <row r="756" ht="15.75" customHeight="1">
      <c r="A756" s="158"/>
      <c r="H756" s="2"/>
      <c r="S756" s="158"/>
      <c r="Z756" s="2"/>
    </row>
    <row r="757" ht="15.75" customHeight="1">
      <c r="A757" s="158"/>
      <c r="H757" s="2"/>
      <c r="S757" s="158"/>
      <c r="Z757" s="2"/>
    </row>
    <row r="758" ht="15.75" customHeight="1">
      <c r="A758" s="158"/>
      <c r="H758" s="2"/>
      <c r="S758" s="158"/>
      <c r="Z758" s="2"/>
    </row>
    <row r="759" ht="15.75" customHeight="1">
      <c r="A759" s="158"/>
      <c r="H759" s="2"/>
      <c r="S759" s="158"/>
      <c r="Z759" s="2"/>
    </row>
    <row r="760" ht="15.75" customHeight="1">
      <c r="A760" s="158"/>
      <c r="H760" s="2"/>
      <c r="S760" s="158"/>
      <c r="Z760" s="2"/>
    </row>
    <row r="761" ht="15.75" customHeight="1">
      <c r="A761" s="158"/>
      <c r="H761" s="2"/>
      <c r="S761" s="158"/>
      <c r="Z761" s="2"/>
    </row>
    <row r="762" ht="15.75" customHeight="1">
      <c r="A762" s="158"/>
      <c r="H762" s="2"/>
      <c r="S762" s="158"/>
      <c r="Z762" s="2"/>
    </row>
    <row r="763" ht="15.75" customHeight="1">
      <c r="A763" s="158"/>
      <c r="H763" s="2"/>
      <c r="S763" s="158"/>
      <c r="Z763" s="2"/>
    </row>
    <row r="764" ht="15.75" customHeight="1">
      <c r="A764" s="158"/>
      <c r="H764" s="2"/>
      <c r="S764" s="158"/>
      <c r="Z764" s="2"/>
    </row>
    <row r="765" ht="15.75" customHeight="1">
      <c r="A765" s="158"/>
      <c r="H765" s="2"/>
      <c r="S765" s="158"/>
      <c r="Z765" s="2"/>
    </row>
    <row r="766" ht="15.75" customHeight="1">
      <c r="A766" s="158"/>
      <c r="H766" s="2"/>
      <c r="S766" s="158"/>
      <c r="Z766" s="2"/>
    </row>
    <row r="767" ht="15.75" customHeight="1">
      <c r="A767" s="158"/>
      <c r="H767" s="2"/>
      <c r="S767" s="158"/>
      <c r="Z767" s="2"/>
    </row>
    <row r="768" ht="15.75" customHeight="1">
      <c r="A768" s="158"/>
      <c r="H768" s="2"/>
      <c r="S768" s="158"/>
      <c r="Z768" s="2"/>
    </row>
    <row r="769" ht="15.75" customHeight="1">
      <c r="A769" s="158"/>
      <c r="H769" s="2"/>
      <c r="S769" s="158"/>
      <c r="Z769" s="2"/>
    </row>
    <row r="770" ht="15.75" customHeight="1">
      <c r="A770" s="158"/>
      <c r="H770" s="2"/>
      <c r="S770" s="158"/>
      <c r="Z770" s="2"/>
    </row>
    <row r="771" ht="15.75" customHeight="1">
      <c r="A771" s="158"/>
      <c r="H771" s="2"/>
      <c r="S771" s="158"/>
      <c r="Z771" s="2"/>
    </row>
    <row r="772" ht="15.75" customHeight="1">
      <c r="A772" s="158"/>
      <c r="H772" s="2"/>
      <c r="S772" s="158"/>
      <c r="Z772" s="2"/>
    </row>
    <row r="773" ht="15.75" customHeight="1">
      <c r="A773" s="158"/>
      <c r="H773" s="2"/>
      <c r="S773" s="158"/>
      <c r="Z773" s="2"/>
    </row>
    <row r="774" ht="15.75" customHeight="1">
      <c r="A774" s="158"/>
      <c r="H774" s="2"/>
      <c r="S774" s="158"/>
      <c r="Z774" s="2"/>
    </row>
    <row r="775" ht="15.75" customHeight="1">
      <c r="A775" s="158"/>
      <c r="H775" s="2"/>
      <c r="S775" s="158"/>
      <c r="Z775" s="2"/>
    </row>
    <row r="776" ht="15.75" customHeight="1">
      <c r="A776" s="158"/>
      <c r="H776" s="2"/>
      <c r="S776" s="158"/>
      <c r="Z776" s="2"/>
    </row>
    <row r="777" ht="15.75" customHeight="1">
      <c r="A777" s="158"/>
      <c r="H777" s="2"/>
      <c r="S777" s="158"/>
      <c r="Z777" s="2"/>
    </row>
    <row r="778" ht="15.75" customHeight="1">
      <c r="A778" s="158"/>
      <c r="H778" s="2"/>
      <c r="S778" s="158"/>
      <c r="Z778" s="2"/>
    </row>
    <row r="779" ht="15.75" customHeight="1">
      <c r="A779" s="158"/>
      <c r="H779" s="2"/>
      <c r="S779" s="158"/>
      <c r="Z779" s="2"/>
    </row>
    <row r="780" ht="15.75" customHeight="1">
      <c r="A780" s="158"/>
      <c r="H780" s="2"/>
      <c r="S780" s="158"/>
      <c r="Z780" s="2"/>
    </row>
    <row r="781" ht="15.75" customHeight="1">
      <c r="A781" s="158"/>
      <c r="H781" s="2"/>
      <c r="S781" s="158"/>
      <c r="Z781" s="2"/>
    </row>
    <row r="782" ht="15.75" customHeight="1">
      <c r="A782" s="158"/>
      <c r="H782" s="2"/>
      <c r="S782" s="158"/>
      <c r="Z782" s="2"/>
    </row>
    <row r="783" ht="15.75" customHeight="1">
      <c r="A783" s="158"/>
      <c r="H783" s="2"/>
      <c r="S783" s="158"/>
      <c r="Z783" s="2"/>
    </row>
    <row r="784" ht="15.75" customHeight="1">
      <c r="A784" s="158"/>
      <c r="H784" s="2"/>
      <c r="S784" s="158"/>
      <c r="Z784" s="2"/>
    </row>
    <row r="785" ht="15.75" customHeight="1">
      <c r="A785" s="158"/>
      <c r="H785" s="2"/>
      <c r="S785" s="158"/>
      <c r="Z785" s="2"/>
    </row>
    <row r="786" ht="15.75" customHeight="1">
      <c r="A786" s="158"/>
      <c r="H786" s="2"/>
      <c r="S786" s="158"/>
      <c r="Z786" s="2"/>
    </row>
    <row r="787" ht="15.75" customHeight="1">
      <c r="A787" s="158"/>
      <c r="H787" s="2"/>
      <c r="S787" s="158"/>
      <c r="Z787" s="2"/>
    </row>
    <row r="788" ht="15.75" customHeight="1">
      <c r="A788" s="158"/>
      <c r="H788" s="2"/>
      <c r="S788" s="158"/>
      <c r="Z788" s="2"/>
    </row>
    <row r="789" ht="15.75" customHeight="1">
      <c r="A789" s="158"/>
      <c r="H789" s="2"/>
      <c r="S789" s="158"/>
      <c r="Z789" s="2"/>
    </row>
    <row r="790" ht="15.75" customHeight="1">
      <c r="A790" s="158"/>
      <c r="H790" s="2"/>
      <c r="S790" s="158"/>
      <c r="Z790" s="2"/>
    </row>
    <row r="791" ht="15.75" customHeight="1">
      <c r="A791" s="158"/>
      <c r="H791" s="2"/>
      <c r="S791" s="158"/>
      <c r="Z791" s="2"/>
    </row>
    <row r="792" ht="15.75" customHeight="1">
      <c r="A792" s="158"/>
      <c r="H792" s="2"/>
      <c r="S792" s="158"/>
      <c r="Z792" s="2"/>
    </row>
    <row r="793" ht="15.75" customHeight="1">
      <c r="A793" s="158"/>
      <c r="H793" s="2"/>
      <c r="S793" s="158"/>
      <c r="Z793" s="2"/>
    </row>
    <row r="794" ht="15.75" customHeight="1">
      <c r="A794" s="158"/>
      <c r="H794" s="2"/>
      <c r="S794" s="158"/>
      <c r="Z794" s="2"/>
    </row>
    <row r="795" ht="15.75" customHeight="1">
      <c r="A795" s="158"/>
      <c r="H795" s="2"/>
      <c r="S795" s="158"/>
      <c r="Z795" s="2"/>
    </row>
    <row r="796" ht="15.75" customHeight="1">
      <c r="A796" s="158"/>
      <c r="H796" s="2"/>
      <c r="S796" s="158"/>
      <c r="Z796" s="2"/>
    </row>
    <row r="797" ht="15.75" customHeight="1">
      <c r="A797" s="158"/>
      <c r="H797" s="2"/>
      <c r="S797" s="158"/>
      <c r="Z797" s="2"/>
    </row>
    <row r="798" ht="15.75" customHeight="1">
      <c r="A798" s="158"/>
      <c r="H798" s="2"/>
      <c r="S798" s="158"/>
      <c r="Z798" s="2"/>
    </row>
    <row r="799" ht="15.75" customHeight="1">
      <c r="A799" s="158"/>
      <c r="H799" s="2"/>
      <c r="S799" s="158"/>
      <c r="Z799" s="2"/>
    </row>
    <row r="800" ht="15.75" customHeight="1">
      <c r="A800" s="158"/>
      <c r="H800" s="2"/>
      <c r="S800" s="158"/>
      <c r="Z800" s="2"/>
    </row>
    <row r="801" ht="15.75" customHeight="1">
      <c r="A801" s="158"/>
      <c r="H801" s="2"/>
      <c r="S801" s="158"/>
      <c r="Z801" s="2"/>
    </row>
    <row r="802" ht="15.75" customHeight="1">
      <c r="A802" s="158"/>
      <c r="H802" s="2"/>
      <c r="S802" s="158"/>
      <c r="Z802" s="2"/>
    </row>
    <row r="803" ht="15.75" customHeight="1">
      <c r="A803" s="158"/>
      <c r="H803" s="2"/>
      <c r="S803" s="158"/>
      <c r="Z803" s="2"/>
    </row>
    <row r="804" ht="15.75" customHeight="1">
      <c r="A804" s="158"/>
      <c r="H804" s="2"/>
      <c r="S804" s="158"/>
      <c r="Z804" s="2"/>
    </row>
    <row r="805" ht="15.75" customHeight="1">
      <c r="A805" s="158"/>
      <c r="H805" s="2"/>
      <c r="S805" s="158"/>
      <c r="Z805" s="2"/>
    </row>
    <row r="806" ht="15.75" customHeight="1">
      <c r="A806" s="158"/>
      <c r="H806" s="2"/>
      <c r="S806" s="158"/>
      <c r="Z806" s="2"/>
    </row>
    <row r="807" ht="15.75" customHeight="1">
      <c r="A807" s="158"/>
      <c r="H807" s="2"/>
      <c r="S807" s="158"/>
      <c r="Z807" s="2"/>
    </row>
    <row r="808" ht="15.75" customHeight="1">
      <c r="A808" s="158"/>
      <c r="H808" s="2"/>
      <c r="S808" s="158"/>
      <c r="Z808" s="2"/>
    </row>
    <row r="809" ht="15.75" customHeight="1">
      <c r="A809" s="158"/>
      <c r="H809" s="2"/>
      <c r="S809" s="158"/>
      <c r="Z809" s="2"/>
    </row>
    <row r="810" ht="15.75" customHeight="1">
      <c r="A810" s="158"/>
      <c r="H810" s="2"/>
      <c r="S810" s="158"/>
      <c r="Z810" s="2"/>
    </row>
    <row r="811" ht="15.75" customHeight="1">
      <c r="A811" s="158"/>
      <c r="H811" s="2"/>
      <c r="S811" s="158"/>
      <c r="Z811" s="2"/>
    </row>
    <row r="812" ht="15.75" customHeight="1">
      <c r="A812" s="158"/>
      <c r="H812" s="2"/>
      <c r="S812" s="158"/>
      <c r="Z812" s="2"/>
    </row>
    <row r="813" ht="15.75" customHeight="1">
      <c r="A813" s="158"/>
      <c r="H813" s="2"/>
      <c r="S813" s="158"/>
      <c r="Z813" s="2"/>
    </row>
    <row r="814" ht="15.75" customHeight="1">
      <c r="A814" s="158"/>
      <c r="H814" s="2"/>
      <c r="S814" s="158"/>
      <c r="Z814" s="2"/>
    </row>
    <row r="815" ht="15.75" customHeight="1">
      <c r="A815" s="158"/>
      <c r="H815" s="2"/>
      <c r="S815" s="158"/>
      <c r="Z815" s="2"/>
    </row>
    <row r="816" ht="15.75" customHeight="1">
      <c r="A816" s="158"/>
      <c r="H816" s="2"/>
      <c r="S816" s="158"/>
      <c r="Z816" s="2"/>
    </row>
    <row r="817" ht="15.75" customHeight="1">
      <c r="A817" s="158"/>
      <c r="H817" s="2"/>
      <c r="S817" s="158"/>
      <c r="Z817" s="2"/>
    </row>
    <row r="818" ht="15.75" customHeight="1">
      <c r="A818" s="158"/>
      <c r="H818" s="2"/>
      <c r="S818" s="158"/>
      <c r="Z818" s="2"/>
    </row>
    <row r="819" ht="15.75" customHeight="1">
      <c r="A819" s="158"/>
      <c r="H819" s="2"/>
      <c r="S819" s="158"/>
      <c r="Z819" s="2"/>
    </row>
    <row r="820" ht="15.75" customHeight="1">
      <c r="A820" s="158"/>
      <c r="H820" s="2"/>
      <c r="S820" s="158"/>
      <c r="Z820" s="2"/>
    </row>
    <row r="821" ht="15.75" customHeight="1">
      <c r="A821" s="158"/>
      <c r="H821" s="2"/>
      <c r="S821" s="158"/>
      <c r="Z821" s="2"/>
    </row>
    <row r="822" ht="15.75" customHeight="1">
      <c r="A822" s="158"/>
      <c r="H822" s="2"/>
      <c r="S822" s="158"/>
      <c r="Z822" s="2"/>
    </row>
    <row r="823" ht="15.75" customHeight="1">
      <c r="A823" s="158"/>
      <c r="H823" s="2"/>
      <c r="S823" s="158"/>
      <c r="Z823" s="2"/>
    </row>
    <row r="824" ht="15.75" customHeight="1">
      <c r="A824" s="158"/>
      <c r="H824" s="2"/>
      <c r="S824" s="158"/>
      <c r="Z824" s="2"/>
    </row>
    <row r="825" ht="15.75" customHeight="1">
      <c r="A825" s="158"/>
      <c r="H825" s="2"/>
      <c r="S825" s="158"/>
      <c r="Z825" s="2"/>
    </row>
    <row r="826" ht="15.75" customHeight="1">
      <c r="A826" s="158"/>
      <c r="H826" s="2"/>
      <c r="S826" s="158"/>
      <c r="Z826" s="2"/>
    </row>
    <row r="827" ht="15.75" customHeight="1">
      <c r="A827" s="158"/>
      <c r="H827" s="2"/>
      <c r="S827" s="158"/>
      <c r="Z827" s="2"/>
    </row>
    <row r="828" ht="15.75" customHeight="1">
      <c r="A828" s="158"/>
      <c r="H828" s="2"/>
      <c r="S828" s="158"/>
      <c r="Z828" s="2"/>
    </row>
    <row r="829" ht="15.75" customHeight="1">
      <c r="A829" s="158"/>
      <c r="H829" s="2"/>
      <c r="S829" s="158"/>
      <c r="Z829" s="2"/>
    </row>
    <row r="830" ht="15.75" customHeight="1">
      <c r="A830" s="158"/>
      <c r="H830" s="2"/>
      <c r="S830" s="158"/>
      <c r="Z830" s="2"/>
    </row>
    <row r="831" ht="15.75" customHeight="1">
      <c r="A831" s="158"/>
      <c r="H831" s="2"/>
      <c r="S831" s="158"/>
      <c r="Z831" s="2"/>
    </row>
    <row r="832" ht="15.75" customHeight="1">
      <c r="A832" s="158"/>
      <c r="H832" s="2"/>
      <c r="S832" s="158"/>
      <c r="Z832" s="2"/>
    </row>
    <row r="833" ht="15.75" customHeight="1">
      <c r="A833" s="158"/>
      <c r="H833" s="2"/>
      <c r="S833" s="158"/>
      <c r="Z833" s="2"/>
    </row>
    <row r="834" ht="15.75" customHeight="1">
      <c r="A834" s="158"/>
      <c r="H834" s="2"/>
      <c r="S834" s="158"/>
      <c r="Z834" s="2"/>
    </row>
    <row r="835" ht="15.75" customHeight="1">
      <c r="A835" s="158"/>
      <c r="H835" s="2"/>
      <c r="S835" s="158"/>
      <c r="Z835" s="2"/>
    </row>
    <row r="836" ht="15.75" customHeight="1">
      <c r="A836" s="158"/>
      <c r="H836" s="2"/>
      <c r="S836" s="158"/>
      <c r="Z836" s="2"/>
    </row>
    <row r="837" ht="15.75" customHeight="1">
      <c r="A837" s="158"/>
      <c r="H837" s="2"/>
      <c r="S837" s="158"/>
      <c r="Z837" s="2"/>
    </row>
    <row r="838" ht="15.75" customHeight="1">
      <c r="A838" s="158"/>
      <c r="H838" s="2"/>
      <c r="S838" s="158"/>
      <c r="Z838" s="2"/>
    </row>
    <row r="839" ht="15.75" customHeight="1">
      <c r="A839" s="158"/>
      <c r="H839" s="2"/>
      <c r="S839" s="158"/>
      <c r="Z839" s="2"/>
    </row>
    <row r="840" ht="15.75" customHeight="1">
      <c r="A840" s="158"/>
      <c r="H840" s="2"/>
      <c r="S840" s="158"/>
      <c r="Z840" s="2"/>
    </row>
    <row r="841" ht="15.75" customHeight="1">
      <c r="A841" s="158"/>
      <c r="H841" s="2"/>
      <c r="S841" s="158"/>
      <c r="Z841" s="2"/>
    </row>
    <row r="842" ht="15.75" customHeight="1">
      <c r="A842" s="158"/>
      <c r="H842" s="2"/>
      <c r="S842" s="158"/>
      <c r="Z842" s="2"/>
    </row>
    <row r="843" ht="15.75" customHeight="1">
      <c r="A843" s="158"/>
      <c r="H843" s="2"/>
      <c r="S843" s="158"/>
      <c r="Z843" s="2"/>
    </row>
    <row r="844" ht="15.75" customHeight="1">
      <c r="A844" s="158"/>
      <c r="H844" s="2"/>
      <c r="S844" s="158"/>
      <c r="Z844" s="2"/>
    </row>
    <row r="845" ht="15.75" customHeight="1">
      <c r="A845" s="158"/>
      <c r="H845" s="2"/>
      <c r="S845" s="158"/>
      <c r="Z845" s="2"/>
    </row>
    <row r="846" ht="15.75" customHeight="1">
      <c r="A846" s="158"/>
      <c r="H846" s="2"/>
      <c r="S846" s="158"/>
      <c r="Z846" s="2"/>
    </row>
    <row r="847" ht="15.75" customHeight="1">
      <c r="A847" s="158"/>
      <c r="H847" s="2"/>
      <c r="S847" s="158"/>
      <c r="Z847" s="2"/>
    </row>
    <row r="848" ht="15.75" customHeight="1">
      <c r="A848" s="158"/>
      <c r="H848" s="2"/>
      <c r="S848" s="158"/>
      <c r="Z848" s="2"/>
    </row>
    <row r="849" ht="15.75" customHeight="1">
      <c r="A849" s="158"/>
      <c r="H849" s="2"/>
      <c r="S849" s="158"/>
      <c r="Z849" s="2"/>
    </row>
    <row r="850" ht="15.75" customHeight="1">
      <c r="A850" s="158"/>
      <c r="H850" s="2"/>
      <c r="S850" s="158"/>
      <c r="Z850" s="2"/>
    </row>
    <row r="851" ht="15.75" customHeight="1">
      <c r="A851" s="158"/>
      <c r="H851" s="2"/>
      <c r="S851" s="158"/>
      <c r="Z851" s="2"/>
    </row>
    <row r="852" ht="15.75" customHeight="1">
      <c r="A852" s="158"/>
      <c r="H852" s="2"/>
      <c r="S852" s="158"/>
      <c r="Z852" s="2"/>
    </row>
    <row r="853" ht="15.75" customHeight="1">
      <c r="A853" s="158"/>
      <c r="H853" s="2"/>
      <c r="S853" s="158"/>
      <c r="Z853" s="2"/>
    </row>
    <row r="854" ht="15.75" customHeight="1">
      <c r="A854" s="158"/>
      <c r="H854" s="2"/>
      <c r="S854" s="158"/>
      <c r="Z854" s="2"/>
    </row>
    <row r="855" ht="15.75" customHeight="1">
      <c r="A855" s="158"/>
      <c r="H855" s="2"/>
      <c r="S855" s="158"/>
      <c r="Z855" s="2"/>
    </row>
    <row r="856" ht="15.75" customHeight="1">
      <c r="A856" s="158"/>
      <c r="H856" s="2"/>
      <c r="S856" s="158"/>
      <c r="Z856" s="2"/>
    </row>
    <row r="857" ht="15.75" customHeight="1">
      <c r="A857" s="158"/>
      <c r="H857" s="2"/>
      <c r="S857" s="158"/>
      <c r="Z857" s="2"/>
    </row>
    <row r="858" ht="15.75" customHeight="1">
      <c r="A858" s="158"/>
      <c r="H858" s="2"/>
      <c r="S858" s="158"/>
      <c r="Z858" s="2"/>
    </row>
    <row r="859" ht="15.75" customHeight="1">
      <c r="A859" s="158"/>
      <c r="H859" s="2"/>
      <c r="S859" s="158"/>
      <c r="Z859" s="2"/>
    </row>
    <row r="860" ht="15.75" customHeight="1">
      <c r="A860" s="158"/>
      <c r="H860" s="2"/>
      <c r="S860" s="158"/>
      <c r="Z860" s="2"/>
    </row>
    <row r="861" ht="15.75" customHeight="1">
      <c r="A861" s="158"/>
      <c r="H861" s="2"/>
      <c r="S861" s="158"/>
      <c r="Z861" s="2"/>
    </row>
    <row r="862" ht="15.75" customHeight="1">
      <c r="A862" s="158"/>
      <c r="H862" s="2"/>
      <c r="S862" s="158"/>
      <c r="Z862" s="2"/>
    </row>
    <row r="863" ht="15.75" customHeight="1">
      <c r="A863" s="158"/>
      <c r="H863" s="2"/>
      <c r="S863" s="158"/>
      <c r="Z863" s="2"/>
    </row>
    <row r="864" ht="15.75" customHeight="1">
      <c r="A864" s="158"/>
      <c r="H864" s="2"/>
      <c r="S864" s="158"/>
      <c r="Z864" s="2"/>
    </row>
    <row r="865" ht="15.75" customHeight="1">
      <c r="A865" s="158"/>
      <c r="H865" s="2"/>
      <c r="S865" s="158"/>
      <c r="Z865" s="2"/>
    </row>
    <row r="866" ht="15.75" customHeight="1">
      <c r="A866" s="158"/>
      <c r="H866" s="2"/>
      <c r="S866" s="158"/>
      <c r="Z866" s="2"/>
    </row>
    <row r="867" ht="15.75" customHeight="1">
      <c r="A867" s="158"/>
      <c r="H867" s="2"/>
      <c r="S867" s="158"/>
      <c r="Z867" s="2"/>
    </row>
    <row r="868" ht="15.75" customHeight="1">
      <c r="A868" s="158"/>
      <c r="H868" s="2"/>
      <c r="S868" s="158"/>
      <c r="Z868" s="2"/>
    </row>
    <row r="869" ht="15.75" customHeight="1">
      <c r="A869" s="158"/>
      <c r="H869" s="2"/>
      <c r="S869" s="158"/>
      <c r="Z869" s="2"/>
    </row>
    <row r="870" ht="15.75" customHeight="1">
      <c r="A870" s="158"/>
      <c r="H870" s="2"/>
      <c r="S870" s="158"/>
      <c r="Z870" s="2"/>
    </row>
    <row r="871" ht="15.75" customHeight="1">
      <c r="A871" s="158"/>
      <c r="H871" s="2"/>
      <c r="S871" s="158"/>
      <c r="Z871" s="2"/>
    </row>
    <row r="872" ht="15.75" customHeight="1">
      <c r="A872" s="158"/>
      <c r="H872" s="2"/>
      <c r="S872" s="158"/>
      <c r="Z872" s="2"/>
    </row>
    <row r="873" ht="15.75" customHeight="1">
      <c r="A873" s="158"/>
      <c r="H873" s="2"/>
      <c r="S873" s="158"/>
      <c r="Z873" s="2"/>
    </row>
    <row r="874" ht="15.75" customHeight="1">
      <c r="A874" s="158"/>
      <c r="H874" s="2"/>
      <c r="S874" s="158"/>
      <c r="Z874" s="2"/>
    </row>
    <row r="875" ht="15.75" customHeight="1">
      <c r="A875" s="158"/>
      <c r="H875" s="2"/>
      <c r="S875" s="158"/>
      <c r="Z875" s="2"/>
    </row>
    <row r="876" ht="15.75" customHeight="1">
      <c r="A876" s="158"/>
      <c r="H876" s="2"/>
      <c r="S876" s="158"/>
      <c r="Z876" s="2"/>
    </row>
    <row r="877" ht="15.75" customHeight="1">
      <c r="A877" s="158"/>
      <c r="H877" s="2"/>
      <c r="S877" s="158"/>
      <c r="Z877" s="2"/>
    </row>
    <row r="878" ht="15.75" customHeight="1">
      <c r="A878" s="158"/>
      <c r="H878" s="2"/>
      <c r="S878" s="158"/>
      <c r="Z878" s="2"/>
    </row>
    <row r="879" ht="15.75" customHeight="1">
      <c r="A879" s="158"/>
      <c r="H879" s="2"/>
      <c r="S879" s="158"/>
      <c r="Z879" s="2"/>
    </row>
    <row r="880" ht="15.75" customHeight="1">
      <c r="A880" s="158"/>
      <c r="H880" s="2"/>
      <c r="S880" s="158"/>
      <c r="Z880" s="2"/>
    </row>
    <row r="881" ht="15.75" customHeight="1">
      <c r="A881" s="158"/>
      <c r="H881" s="2"/>
      <c r="S881" s="158"/>
      <c r="Z881" s="2"/>
    </row>
    <row r="882" ht="15.75" customHeight="1">
      <c r="A882" s="158"/>
      <c r="H882" s="2"/>
      <c r="S882" s="158"/>
      <c r="Z882" s="2"/>
    </row>
    <row r="883" ht="15.75" customHeight="1">
      <c r="A883" s="158"/>
      <c r="H883" s="2"/>
      <c r="S883" s="158"/>
      <c r="Z883" s="2"/>
    </row>
    <row r="884" ht="15.75" customHeight="1">
      <c r="A884" s="158"/>
      <c r="H884" s="2"/>
      <c r="S884" s="158"/>
      <c r="Z884" s="2"/>
    </row>
    <row r="885" ht="15.75" customHeight="1">
      <c r="A885" s="158"/>
      <c r="H885" s="2"/>
      <c r="S885" s="158"/>
      <c r="Z885" s="2"/>
    </row>
    <row r="886" ht="15.75" customHeight="1">
      <c r="A886" s="158"/>
      <c r="H886" s="2"/>
      <c r="S886" s="158"/>
      <c r="Z886" s="2"/>
    </row>
    <row r="887" ht="15.75" customHeight="1">
      <c r="A887" s="158"/>
      <c r="H887" s="2"/>
      <c r="S887" s="158"/>
      <c r="Z887" s="2"/>
    </row>
    <row r="888" ht="15.75" customHeight="1">
      <c r="A888" s="158"/>
      <c r="H888" s="2"/>
      <c r="S888" s="158"/>
      <c r="Z888" s="2"/>
    </row>
    <row r="889" ht="15.75" customHeight="1">
      <c r="A889" s="158"/>
      <c r="H889" s="2"/>
      <c r="S889" s="158"/>
      <c r="Z889" s="2"/>
    </row>
    <row r="890" ht="15.75" customHeight="1">
      <c r="A890" s="158"/>
      <c r="H890" s="2"/>
      <c r="S890" s="158"/>
      <c r="Z890" s="2"/>
    </row>
    <row r="891" ht="15.75" customHeight="1">
      <c r="A891" s="158"/>
      <c r="H891" s="2"/>
      <c r="S891" s="158"/>
      <c r="Z891" s="2"/>
    </row>
    <row r="892" ht="15.75" customHeight="1">
      <c r="A892" s="158"/>
      <c r="H892" s="2"/>
      <c r="S892" s="158"/>
      <c r="Z892" s="2"/>
    </row>
    <row r="893" ht="15.75" customHeight="1">
      <c r="A893" s="158"/>
      <c r="H893" s="2"/>
      <c r="S893" s="158"/>
      <c r="Z893" s="2"/>
    </row>
    <row r="894" ht="15.75" customHeight="1">
      <c r="A894" s="158"/>
      <c r="H894" s="2"/>
      <c r="S894" s="158"/>
      <c r="Z894" s="2"/>
    </row>
    <row r="895" ht="15.75" customHeight="1">
      <c r="A895" s="158"/>
      <c r="H895" s="2"/>
      <c r="S895" s="158"/>
      <c r="Z895" s="2"/>
    </row>
    <row r="896" ht="15.75" customHeight="1">
      <c r="A896" s="158"/>
      <c r="H896" s="2"/>
      <c r="S896" s="158"/>
      <c r="Z896" s="2"/>
    </row>
    <row r="897" ht="15.75" customHeight="1">
      <c r="A897" s="158"/>
      <c r="H897" s="2"/>
      <c r="S897" s="158"/>
      <c r="Z897" s="2"/>
    </row>
    <row r="898" ht="15.75" customHeight="1">
      <c r="A898" s="158"/>
      <c r="H898" s="2"/>
      <c r="S898" s="158"/>
      <c r="Z898" s="2"/>
    </row>
    <row r="899" ht="15.75" customHeight="1">
      <c r="A899" s="158"/>
      <c r="H899" s="2"/>
      <c r="S899" s="158"/>
      <c r="Z899" s="2"/>
    </row>
    <row r="900" ht="15.75" customHeight="1">
      <c r="A900" s="158"/>
      <c r="H900" s="2"/>
      <c r="S900" s="158"/>
      <c r="Z900" s="2"/>
    </row>
    <row r="901" ht="15.75" customHeight="1">
      <c r="A901" s="158"/>
      <c r="H901" s="2"/>
      <c r="S901" s="158"/>
      <c r="Z901" s="2"/>
    </row>
    <row r="902" ht="15.75" customHeight="1">
      <c r="A902" s="158"/>
      <c r="H902" s="2"/>
      <c r="S902" s="158"/>
      <c r="Z902" s="2"/>
    </row>
    <row r="903" ht="15.75" customHeight="1">
      <c r="A903" s="158"/>
      <c r="H903" s="2"/>
      <c r="S903" s="158"/>
      <c r="Z903" s="2"/>
    </row>
    <row r="904" ht="15.75" customHeight="1">
      <c r="A904" s="158"/>
      <c r="H904" s="2"/>
      <c r="S904" s="158"/>
      <c r="Z904" s="2"/>
    </row>
    <row r="905" ht="15.75" customHeight="1">
      <c r="A905" s="158"/>
      <c r="H905" s="2"/>
      <c r="S905" s="158"/>
      <c r="Z905" s="2"/>
    </row>
    <row r="906" ht="15.75" customHeight="1">
      <c r="A906" s="158"/>
      <c r="H906" s="2"/>
      <c r="S906" s="158"/>
      <c r="Z906" s="2"/>
    </row>
    <row r="907" ht="15.75" customHeight="1">
      <c r="A907" s="158"/>
      <c r="H907" s="2"/>
      <c r="S907" s="158"/>
      <c r="Z907" s="2"/>
    </row>
    <row r="908" ht="15.75" customHeight="1">
      <c r="A908" s="158"/>
      <c r="H908" s="2"/>
      <c r="S908" s="158"/>
      <c r="Z908" s="2"/>
    </row>
    <row r="909" ht="15.75" customHeight="1">
      <c r="A909" s="158"/>
      <c r="H909" s="2"/>
      <c r="S909" s="158"/>
      <c r="Z909" s="2"/>
    </row>
    <row r="910" ht="15.75" customHeight="1">
      <c r="A910" s="158"/>
      <c r="H910" s="2"/>
      <c r="S910" s="158"/>
      <c r="Z910" s="2"/>
    </row>
    <row r="911" ht="15.75" customHeight="1">
      <c r="A911" s="158"/>
      <c r="H911" s="2"/>
      <c r="S911" s="158"/>
      <c r="Z911" s="2"/>
    </row>
    <row r="912" ht="15.75" customHeight="1">
      <c r="A912" s="158"/>
      <c r="H912" s="2"/>
      <c r="S912" s="158"/>
      <c r="Z912" s="2"/>
    </row>
    <row r="913" ht="15.75" customHeight="1">
      <c r="A913" s="158"/>
      <c r="H913" s="2"/>
      <c r="S913" s="158"/>
      <c r="Z913" s="2"/>
    </row>
    <row r="914" ht="15.75" customHeight="1">
      <c r="A914" s="158"/>
      <c r="H914" s="2"/>
      <c r="S914" s="158"/>
      <c r="Z914" s="2"/>
    </row>
    <row r="915" ht="15.75" customHeight="1">
      <c r="A915" s="158"/>
      <c r="H915" s="2"/>
      <c r="S915" s="158"/>
      <c r="Z915" s="2"/>
    </row>
    <row r="916" ht="15.75" customHeight="1">
      <c r="A916" s="158"/>
      <c r="H916" s="2"/>
      <c r="S916" s="158"/>
      <c r="Z916" s="2"/>
    </row>
    <row r="917" ht="15.75" customHeight="1">
      <c r="A917" s="158"/>
      <c r="H917" s="2"/>
      <c r="S917" s="158"/>
      <c r="Z917" s="2"/>
    </row>
    <row r="918" ht="15.75" customHeight="1">
      <c r="A918" s="158"/>
      <c r="H918" s="2"/>
      <c r="S918" s="158"/>
      <c r="Z918" s="2"/>
    </row>
    <row r="919" ht="15.75" customHeight="1">
      <c r="A919" s="158"/>
      <c r="H919" s="2"/>
      <c r="S919" s="158"/>
      <c r="Z919" s="2"/>
    </row>
    <row r="920" ht="15.75" customHeight="1">
      <c r="A920" s="158"/>
      <c r="H920" s="2"/>
      <c r="S920" s="158"/>
      <c r="Z920" s="2"/>
    </row>
    <row r="921" ht="15.75" customHeight="1">
      <c r="A921" s="158"/>
      <c r="H921" s="2"/>
      <c r="S921" s="158"/>
      <c r="Z921" s="2"/>
    </row>
    <row r="922" ht="15.75" customHeight="1">
      <c r="A922" s="158"/>
      <c r="H922" s="2"/>
      <c r="S922" s="158"/>
      <c r="Z922" s="2"/>
    </row>
    <row r="923" ht="15.75" customHeight="1">
      <c r="A923" s="158"/>
      <c r="H923" s="2"/>
      <c r="S923" s="158"/>
      <c r="Z923" s="2"/>
    </row>
    <row r="924" ht="15.75" customHeight="1">
      <c r="A924" s="158"/>
      <c r="H924" s="2"/>
      <c r="S924" s="158"/>
      <c r="Z924" s="2"/>
    </row>
    <row r="925" ht="15.75" customHeight="1">
      <c r="A925" s="158"/>
      <c r="H925" s="2"/>
      <c r="S925" s="158"/>
      <c r="Z925" s="2"/>
    </row>
    <row r="926" ht="15.75" customHeight="1">
      <c r="A926" s="158"/>
      <c r="H926" s="2"/>
      <c r="S926" s="158"/>
      <c r="Z926" s="2"/>
    </row>
    <row r="927" ht="15.75" customHeight="1">
      <c r="A927" s="158"/>
      <c r="H927" s="2"/>
      <c r="S927" s="158"/>
      <c r="Z927" s="2"/>
    </row>
    <row r="928" ht="15.75" customHeight="1">
      <c r="A928" s="158"/>
      <c r="H928" s="2"/>
      <c r="S928" s="158"/>
      <c r="Z928" s="2"/>
    </row>
    <row r="929" ht="15.75" customHeight="1">
      <c r="A929" s="158"/>
      <c r="H929" s="2"/>
      <c r="S929" s="158"/>
      <c r="Z929" s="2"/>
    </row>
    <row r="930" ht="15.75" customHeight="1">
      <c r="A930" s="158"/>
      <c r="H930" s="2"/>
      <c r="S930" s="158"/>
      <c r="Z930" s="2"/>
    </row>
    <row r="931" ht="15.75" customHeight="1">
      <c r="A931" s="158"/>
      <c r="H931" s="2"/>
      <c r="S931" s="158"/>
      <c r="Z931" s="2"/>
    </row>
    <row r="932" ht="15.75" customHeight="1">
      <c r="A932" s="158"/>
      <c r="H932" s="2"/>
      <c r="S932" s="158"/>
      <c r="Z932" s="2"/>
    </row>
    <row r="933" ht="15.75" customHeight="1">
      <c r="A933" s="158"/>
      <c r="H933" s="2"/>
      <c r="S933" s="158"/>
      <c r="Z933" s="2"/>
    </row>
    <row r="934" ht="15.75" customHeight="1">
      <c r="A934" s="158"/>
      <c r="H934" s="2"/>
      <c r="S934" s="158"/>
      <c r="Z934" s="2"/>
    </row>
    <row r="935" ht="15.75" customHeight="1">
      <c r="A935" s="158"/>
      <c r="H935" s="2"/>
      <c r="S935" s="158"/>
      <c r="Z935" s="2"/>
    </row>
    <row r="936" ht="15.75" customHeight="1">
      <c r="A936" s="158"/>
      <c r="H936" s="2"/>
      <c r="S936" s="158"/>
      <c r="Z936" s="2"/>
    </row>
    <row r="937" ht="15.75" customHeight="1">
      <c r="A937" s="158"/>
      <c r="H937" s="2"/>
      <c r="S937" s="158"/>
      <c r="Z937" s="2"/>
    </row>
    <row r="938" ht="15.75" customHeight="1">
      <c r="A938" s="158"/>
      <c r="H938" s="2"/>
      <c r="S938" s="158"/>
      <c r="Z938" s="2"/>
    </row>
    <row r="939" ht="15.75" customHeight="1">
      <c r="A939" s="158"/>
      <c r="H939" s="2"/>
      <c r="S939" s="158"/>
      <c r="Z939" s="2"/>
    </row>
    <row r="940" ht="15.75" customHeight="1">
      <c r="A940" s="158"/>
      <c r="H940" s="2"/>
      <c r="S940" s="158"/>
      <c r="Z940" s="2"/>
    </row>
    <row r="941" ht="15.75" customHeight="1">
      <c r="A941" s="158"/>
      <c r="H941" s="2"/>
      <c r="S941" s="158"/>
      <c r="Z941" s="2"/>
    </row>
    <row r="942" ht="15.75" customHeight="1">
      <c r="A942" s="158"/>
      <c r="H942" s="2"/>
      <c r="S942" s="158"/>
      <c r="Z942" s="2"/>
    </row>
    <row r="943" ht="15.75" customHeight="1">
      <c r="A943" s="158"/>
      <c r="H943" s="2"/>
      <c r="S943" s="158"/>
      <c r="Z943" s="2"/>
    </row>
    <row r="944" ht="15.75" customHeight="1">
      <c r="A944" s="158"/>
      <c r="H944" s="2"/>
      <c r="S944" s="158"/>
      <c r="Z944" s="2"/>
    </row>
    <row r="945" ht="15.75" customHeight="1">
      <c r="A945" s="158"/>
      <c r="H945" s="2"/>
      <c r="S945" s="158"/>
      <c r="Z945" s="2"/>
    </row>
    <row r="946" ht="15.75" customHeight="1">
      <c r="A946" s="158"/>
      <c r="H946" s="2"/>
      <c r="S946" s="158"/>
      <c r="Z946" s="2"/>
    </row>
    <row r="947" ht="15.75" customHeight="1">
      <c r="A947" s="158"/>
      <c r="H947" s="2"/>
      <c r="S947" s="158"/>
      <c r="Z947" s="2"/>
    </row>
    <row r="948" ht="15.75" customHeight="1">
      <c r="A948" s="158"/>
      <c r="H948" s="2"/>
      <c r="S948" s="158"/>
      <c r="Z948" s="2"/>
    </row>
    <row r="949" ht="15.75" customHeight="1">
      <c r="A949" s="158"/>
      <c r="H949" s="2"/>
      <c r="S949" s="158"/>
      <c r="Z949" s="2"/>
    </row>
    <row r="950" ht="15.75" customHeight="1">
      <c r="A950" s="158"/>
      <c r="H950" s="2"/>
      <c r="S950" s="158"/>
      <c r="Z950" s="2"/>
    </row>
    <row r="951" ht="15.75" customHeight="1">
      <c r="A951" s="158"/>
      <c r="H951" s="2"/>
      <c r="S951" s="158"/>
      <c r="Z951" s="2"/>
    </row>
    <row r="952" ht="15.75" customHeight="1">
      <c r="A952" s="158"/>
      <c r="H952" s="2"/>
      <c r="S952" s="158"/>
      <c r="Z952" s="2"/>
    </row>
    <row r="953" ht="15.75" customHeight="1">
      <c r="A953" s="158"/>
      <c r="H953" s="2"/>
      <c r="S953" s="158"/>
      <c r="Z953" s="2"/>
    </row>
    <row r="954" ht="15.75" customHeight="1">
      <c r="A954" s="158"/>
      <c r="H954" s="2"/>
      <c r="S954" s="158"/>
      <c r="Z954" s="2"/>
    </row>
    <row r="955" ht="15.75" customHeight="1">
      <c r="A955" s="158"/>
      <c r="H955" s="2"/>
      <c r="S955" s="158"/>
      <c r="Z955" s="2"/>
    </row>
    <row r="956" ht="15.75" customHeight="1">
      <c r="A956" s="158"/>
      <c r="H956" s="2"/>
      <c r="S956" s="158"/>
      <c r="Z956" s="2"/>
    </row>
    <row r="957" ht="15.75" customHeight="1">
      <c r="A957" s="158"/>
      <c r="H957" s="2"/>
      <c r="S957" s="158"/>
      <c r="Z957" s="2"/>
    </row>
    <row r="958" ht="15.75" customHeight="1">
      <c r="A958" s="158"/>
      <c r="H958" s="2"/>
      <c r="S958" s="158"/>
      <c r="Z958" s="2"/>
    </row>
    <row r="959" ht="15.75" customHeight="1">
      <c r="A959" s="158"/>
      <c r="H959" s="2"/>
      <c r="S959" s="158"/>
      <c r="Z959" s="2"/>
    </row>
    <row r="960" ht="15.75" customHeight="1">
      <c r="A960" s="158"/>
      <c r="H960" s="2"/>
      <c r="S960" s="158"/>
      <c r="Z960" s="2"/>
    </row>
    <row r="961" ht="15.75" customHeight="1">
      <c r="A961" s="158"/>
      <c r="H961" s="2"/>
      <c r="S961" s="158"/>
      <c r="Z961" s="2"/>
    </row>
    <row r="962" ht="15.75" customHeight="1">
      <c r="A962" s="158"/>
      <c r="H962" s="2"/>
      <c r="S962" s="158"/>
      <c r="Z962" s="2"/>
    </row>
    <row r="963" ht="15.75" customHeight="1">
      <c r="A963" s="158"/>
      <c r="H963" s="2"/>
      <c r="S963" s="158"/>
      <c r="Z963" s="2"/>
    </row>
    <row r="964" ht="15.75" customHeight="1">
      <c r="A964" s="158"/>
      <c r="H964" s="2"/>
      <c r="S964" s="158"/>
      <c r="Z964" s="2"/>
    </row>
    <row r="965" ht="15.75" customHeight="1">
      <c r="A965" s="158"/>
      <c r="H965" s="2"/>
      <c r="S965" s="158"/>
      <c r="Z965" s="2"/>
    </row>
    <row r="966" ht="15.75" customHeight="1">
      <c r="A966" s="158"/>
      <c r="H966" s="2"/>
      <c r="S966" s="158"/>
      <c r="Z966" s="2"/>
    </row>
    <row r="967" ht="15.75" customHeight="1">
      <c r="A967" s="158"/>
      <c r="H967" s="2"/>
      <c r="S967" s="158"/>
      <c r="Z967" s="2"/>
    </row>
    <row r="968" ht="15.75" customHeight="1">
      <c r="A968" s="158"/>
      <c r="H968" s="2"/>
      <c r="S968" s="158"/>
      <c r="Z968" s="2"/>
    </row>
    <row r="969" ht="15.75" customHeight="1">
      <c r="A969" s="158"/>
      <c r="H969" s="2"/>
      <c r="S969" s="158"/>
      <c r="Z969" s="2"/>
    </row>
    <row r="970" ht="15.75" customHeight="1">
      <c r="A970" s="158"/>
      <c r="H970" s="2"/>
      <c r="S970" s="158"/>
      <c r="Z970" s="2"/>
    </row>
    <row r="971" ht="15.75" customHeight="1">
      <c r="A971" s="158"/>
      <c r="H971" s="2"/>
      <c r="S971" s="158"/>
      <c r="Z971" s="2"/>
    </row>
    <row r="972" ht="15.75" customHeight="1">
      <c r="A972" s="158"/>
      <c r="H972" s="2"/>
      <c r="S972" s="158"/>
      <c r="Z972" s="2"/>
    </row>
    <row r="973" ht="15.75" customHeight="1">
      <c r="A973" s="158"/>
      <c r="H973" s="2"/>
      <c r="S973" s="158"/>
      <c r="Z973" s="2"/>
    </row>
    <row r="974" ht="15.75" customHeight="1">
      <c r="A974" s="158"/>
      <c r="H974" s="2"/>
      <c r="S974" s="158"/>
      <c r="Z974" s="2"/>
    </row>
    <row r="975" ht="15.75" customHeight="1">
      <c r="A975" s="158"/>
      <c r="H975" s="2"/>
      <c r="S975" s="158"/>
      <c r="Z975" s="2"/>
    </row>
    <row r="976" ht="15.75" customHeight="1">
      <c r="A976" s="158"/>
      <c r="H976" s="2"/>
      <c r="S976" s="158"/>
      <c r="Z976" s="2"/>
    </row>
    <row r="977" ht="15.75" customHeight="1">
      <c r="A977" s="158"/>
      <c r="H977" s="2"/>
      <c r="S977" s="158"/>
      <c r="Z977" s="2"/>
    </row>
    <row r="978" ht="15.75" customHeight="1">
      <c r="A978" s="158"/>
      <c r="H978" s="2"/>
      <c r="S978" s="158"/>
      <c r="Z978" s="2"/>
    </row>
    <row r="979" ht="15.75" customHeight="1">
      <c r="A979" s="158"/>
      <c r="H979" s="2"/>
      <c r="S979" s="158"/>
      <c r="Z979" s="2"/>
    </row>
    <row r="980" ht="15.75" customHeight="1">
      <c r="A980" s="158"/>
      <c r="H980" s="2"/>
      <c r="S980" s="158"/>
      <c r="Z980" s="2"/>
    </row>
    <row r="981" ht="15.75" customHeight="1">
      <c r="A981" s="158"/>
      <c r="H981" s="2"/>
      <c r="S981" s="158"/>
      <c r="Z981" s="2"/>
    </row>
    <row r="982" ht="15.75" customHeight="1">
      <c r="A982" s="158"/>
      <c r="H982" s="2"/>
      <c r="S982" s="158"/>
      <c r="Z982" s="2"/>
    </row>
    <row r="983" ht="15.75" customHeight="1">
      <c r="A983" s="158"/>
      <c r="H983" s="2"/>
      <c r="S983" s="158"/>
      <c r="Z983" s="2"/>
    </row>
    <row r="984" ht="15.75" customHeight="1">
      <c r="A984" s="158"/>
      <c r="H984" s="2"/>
      <c r="S984" s="158"/>
      <c r="Z984" s="2"/>
    </row>
    <row r="985" ht="15.75" customHeight="1">
      <c r="A985" s="158"/>
      <c r="H985" s="2"/>
      <c r="S985" s="158"/>
      <c r="Z985" s="2"/>
    </row>
    <row r="986" ht="15.75" customHeight="1">
      <c r="A986" s="158"/>
      <c r="H986" s="2"/>
      <c r="S986" s="158"/>
      <c r="Z986" s="2"/>
    </row>
    <row r="987" ht="15.75" customHeight="1">
      <c r="A987" s="158"/>
      <c r="H987" s="2"/>
      <c r="S987" s="158"/>
      <c r="Z987" s="2"/>
    </row>
    <row r="988" ht="15.75" customHeight="1">
      <c r="A988" s="158"/>
      <c r="H988" s="2"/>
      <c r="S988" s="158"/>
      <c r="Z988" s="2"/>
    </row>
    <row r="989" ht="15.75" customHeight="1">
      <c r="A989" s="158"/>
      <c r="H989" s="2"/>
      <c r="S989" s="158"/>
      <c r="Z989" s="2"/>
    </row>
    <row r="990" ht="15.75" customHeight="1">
      <c r="A990" s="158"/>
      <c r="H990" s="2"/>
      <c r="S990" s="158"/>
      <c r="Z990" s="2"/>
    </row>
    <row r="991" ht="15.75" customHeight="1">
      <c r="A991" s="158"/>
      <c r="H991" s="2"/>
      <c r="S991" s="158"/>
      <c r="Z991" s="2"/>
    </row>
    <row r="992" ht="15.75" customHeight="1">
      <c r="A992" s="158"/>
      <c r="H992" s="2"/>
      <c r="S992" s="158"/>
      <c r="Z992" s="2"/>
    </row>
    <row r="993" ht="15.75" customHeight="1">
      <c r="A993" s="158"/>
      <c r="H993" s="2"/>
      <c r="S993" s="158"/>
      <c r="Z993" s="2"/>
    </row>
    <row r="994" ht="15.75" customHeight="1">
      <c r="A994" s="158"/>
      <c r="H994" s="2"/>
      <c r="S994" s="158"/>
      <c r="Z994" s="2"/>
    </row>
    <row r="995" ht="15.75" customHeight="1">
      <c r="A995" s="158"/>
      <c r="H995" s="2"/>
      <c r="S995" s="158"/>
      <c r="Z995" s="2"/>
    </row>
    <row r="996" ht="15.75" customHeight="1">
      <c r="A996" s="158"/>
      <c r="H996" s="2"/>
      <c r="S996" s="158"/>
      <c r="Z996" s="2"/>
    </row>
    <row r="997" ht="15.75" customHeight="1">
      <c r="A997" s="158"/>
      <c r="H997" s="2"/>
      <c r="S997" s="158"/>
      <c r="Z997" s="2"/>
    </row>
    <row r="998" ht="15.75" customHeight="1">
      <c r="A998" s="158"/>
      <c r="H998" s="2"/>
      <c r="S998" s="158"/>
      <c r="Z998" s="2"/>
    </row>
    <row r="999" ht="15.75" customHeight="1">
      <c r="A999" s="158"/>
      <c r="H999" s="2"/>
      <c r="S999" s="158"/>
      <c r="Z999" s="2"/>
    </row>
    <row r="1000" ht="15.75" customHeight="1">
      <c r="A1000" s="158"/>
      <c r="H1000" s="2"/>
      <c r="S1000" s="158"/>
      <c r="Z1000" s="2"/>
    </row>
    <row r="1001" ht="15.75" customHeight="1">
      <c r="A1001" s="158"/>
      <c r="H1001" s="2"/>
      <c r="S1001" s="158"/>
      <c r="Z1001" s="2"/>
    </row>
    <row r="1002" ht="15.75" customHeight="1">
      <c r="A1002" s="158"/>
      <c r="H1002" s="2"/>
      <c r="S1002" s="158"/>
      <c r="Z1002" s="2"/>
    </row>
    <row r="1003" ht="15.75" customHeight="1">
      <c r="A1003" s="158"/>
      <c r="H1003" s="2"/>
      <c r="S1003" s="158"/>
      <c r="Z1003" s="2"/>
    </row>
    <row r="1004" ht="15.75" customHeight="1">
      <c r="A1004" s="158"/>
      <c r="H1004" s="2"/>
      <c r="S1004" s="158"/>
      <c r="Z1004" s="2"/>
    </row>
    <row r="1005" ht="15.75" customHeight="1">
      <c r="A1005" s="158"/>
      <c r="H1005" s="2"/>
      <c r="S1005" s="158"/>
      <c r="Z1005" s="2"/>
    </row>
    <row r="1006" ht="15.75" customHeight="1">
      <c r="A1006" s="158"/>
      <c r="H1006" s="2"/>
      <c r="S1006" s="158"/>
      <c r="Z1006" s="2"/>
    </row>
    <row r="1007" ht="15.75" customHeight="1">
      <c r="A1007" s="158"/>
      <c r="H1007" s="2"/>
      <c r="S1007" s="158"/>
      <c r="Z1007" s="2"/>
    </row>
    <row r="1008" ht="15.75" customHeight="1">
      <c r="A1008" s="158"/>
      <c r="H1008" s="2"/>
      <c r="S1008" s="158"/>
      <c r="Z1008" s="2"/>
    </row>
    <row r="1009" ht="15.75" customHeight="1">
      <c r="A1009" s="158"/>
      <c r="H1009" s="2"/>
      <c r="S1009" s="158"/>
      <c r="Z1009" s="2"/>
    </row>
    <row r="1010" ht="15.75" customHeight="1">
      <c r="A1010" s="158"/>
      <c r="H1010" s="2"/>
      <c r="S1010" s="158"/>
      <c r="Z1010" s="2"/>
    </row>
    <row r="1011" ht="15.75" customHeight="1">
      <c r="A1011" s="158"/>
      <c r="H1011" s="2"/>
      <c r="S1011" s="158"/>
      <c r="Z1011" s="2"/>
    </row>
    <row r="1012" ht="15.75" customHeight="1">
      <c r="A1012" s="158"/>
      <c r="H1012" s="2"/>
      <c r="S1012" s="158"/>
      <c r="Z1012" s="2"/>
    </row>
    <row r="1013" ht="15.75" customHeight="1">
      <c r="A1013" s="158"/>
      <c r="H1013" s="2"/>
      <c r="S1013" s="158"/>
      <c r="Z1013" s="2"/>
    </row>
    <row r="1014" ht="15.75" customHeight="1">
      <c r="A1014" s="158"/>
      <c r="H1014" s="2"/>
      <c r="S1014" s="158"/>
      <c r="Z1014" s="2"/>
    </row>
    <row r="1015" ht="15.75" customHeight="1">
      <c r="A1015" s="158"/>
      <c r="H1015" s="2"/>
      <c r="S1015" s="158"/>
      <c r="Z1015" s="2"/>
    </row>
    <row r="1016" ht="15.75" customHeight="1">
      <c r="A1016" s="158"/>
      <c r="H1016" s="2"/>
      <c r="S1016" s="158"/>
      <c r="Z1016" s="2"/>
    </row>
    <row r="1017" ht="15.75" customHeight="1">
      <c r="A1017" s="158"/>
      <c r="H1017" s="2"/>
      <c r="S1017" s="158"/>
      <c r="Z1017" s="2"/>
    </row>
    <row r="1018" ht="15.75" customHeight="1">
      <c r="A1018" s="158"/>
      <c r="H1018" s="2"/>
      <c r="S1018" s="158"/>
      <c r="Z1018" s="2"/>
    </row>
    <row r="1019" ht="15.75" customHeight="1">
      <c r="A1019" s="158"/>
      <c r="H1019" s="2"/>
      <c r="S1019" s="158"/>
      <c r="Z1019" s="2"/>
    </row>
    <row r="1020" ht="15.75" customHeight="1">
      <c r="A1020" s="158"/>
      <c r="H1020" s="2"/>
      <c r="S1020" s="158"/>
      <c r="Z1020" s="2"/>
    </row>
    <row r="1021" ht="15.75" customHeight="1">
      <c r="A1021" s="158"/>
      <c r="H1021" s="2"/>
      <c r="S1021" s="158"/>
      <c r="Z1021" s="2"/>
    </row>
    <row r="1022" ht="15.75" customHeight="1">
      <c r="A1022" s="158"/>
      <c r="H1022" s="2"/>
      <c r="S1022" s="158"/>
      <c r="Z1022" s="2"/>
    </row>
    <row r="1023" ht="15.75" customHeight="1">
      <c r="A1023" s="158"/>
      <c r="H1023" s="2"/>
      <c r="S1023" s="158"/>
      <c r="Z1023" s="2"/>
    </row>
    <row r="1024" ht="15.75" customHeight="1">
      <c r="A1024" s="158"/>
      <c r="H1024" s="2"/>
      <c r="S1024" s="158"/>
      <c r="Z1024" s="2"/>
    </row>
    <row r="1025" ht="15.75" customHeight="1">
      <c r="A1025" s="158"/>
      <c r="H1025" s="2"/>
      <c r="S1025" s="158"/>
      <c r="Z1025" s="2"/>
    </row>
    <row r="1026" ht="15.75" customHeight="1">
      <c r="A1026" s="158"/>
      <c r="H1026" s="2"/>
      <c r="S1026" s="158"/>
      <c r="Z1026" s="2"/>
    </row>
    <row r="1027" ht="15.75" customHeight="1">
      <c r="A1027" s="158"/>
      <c r="H1027" s="2"/>
      <c r="S1027" s="158"/>
      <c r="Z1027" s="2"/>
    </row>
    <row r="1028" ht="15.75" customHeight="1">
      <c r="A1028" s="158"/>
      <c r="H1028" s="2"/>
      <c r="S1028" s="158"/>
      <c r="Z1028" s="2"/>
    </row>
    <row r="1029" ht="15.75" customHeight="1">
      <c r="A1029" s="158"/>
      <c r="H1029" s="2"/>
      <c r="S1029" s="158"/>
      <c r="Z1029" s="2"/>
    </row>
    <row r="1030" ht="15.75" customHeight="1">
      <c r="A1030" s="158"/>
      <c r="H1030" s="2"/>
      <c r="S1030" s="158"/>
      <c r="Z1030" s="2"/>
    </row>
    <row r="1031" ht="15.75" customHeight="1">
      <c r="A1031" s="158"/>
      <c r="H1031" s="2"/>
      <c r="S1031" s="158"/>
      <c r="Z1031" s="2"/>
    </row>
    <row r="1032" ht="15.75" customHeight="1">
      <c r="A1032" s="158"/>
      <c r="H1032" s="2"/>
      <c r="S1032" s="158"/>
      <c r="Z1032" s="2"/>
    </row>
  </sheetData>
  <mergeCells count="16">
    <mergeCell ref="A1:Y1"/>
    <mergeCell ref="A2:Y2"/>
    <mergeCell ref="A3:Y3"/>
    <mergeCell ref="M5:R5"/>
    <mergeCell ref="S5:W5"/>
    <mergeCell ref="Y5:Y6"/>
    <mergeCell ref="Z5:Z6"/>
    <mergeCell ref="V83:X83"/>
    <mergeCell ref="V85:X85"/>
    <mergeCell ref="AB16:AC16"/>
    <mergeCell ref="AA24:AC24"/>
    <mergeCell ref="A79:J79"/>
    <mergeCell ref="A83:C83"/>
    <mergeCell ref="I83:M83"/>
    <mergeCell ref="A85:C85"/>
    <mergeCell ref="I85:M85"/>
  </mergeCells>
  <dataValidations>
    <dataValidation type="list" allowBlank="1" showErrorMessage="1" sqref="E7:E77">
      <formula1>"Sorikatul BMT,Under Kafala,Outside Kafala"</formula1>
    </dataValidation>
  </dataValidations>
  <printOptions/>
  <pageMargins bottom="1.1139766366260724" footer="0.0" header="0.0" left="0.14596935238548533" right="0.0" top="0.668385981975643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22.57"/>
    <col customWidth="1" min="3" max="3" width="34.29"/>
    <col customWidth="1" min="4" max="4" width="1.29"/>
    <col customWidth="1" min="5" max="5" width="22.57"/>
    <col customWidth="1" min="6" max="6" width="34.29"/>
    <col customWidth="1" min="7" max="7" width="5.71"/>
    <col customWidth="1" min="8" max="26" width="9.14"/>
  </cols>
  <sheetData>
    <row r="1">
      <c r="A1" s="174"/>
      <c r="B1" s="175"/>
      <c r="C1" s="175"/>
      <c r="D1" s="175"/>
      <c r="E1" s="175"/>
      <c r="F1" s="175"/>
      <c r="G1" s="176"/>
    </row>
    <row r="2">
      <c r="A2" s="177"/>
      <c r="B2" s="178" t="s">
        <v>218</v>
      </c>
      <c r="C2" s="179"/>
      <c r="D2" s="179"/>
      <c r="E2" s="179"/>
      <c r="F2" s="179"/>
      <c r="G2" s="180"/>
    </row>
    <row r="3">
      <c r="A3" s="181"/>
      <c r="B3" s="182" t="s">
        <v>219</v>
      </c>
      <c r="D3" s="183" t="s">
        <v>220</v>
      </c>
      <c r="E3" s="184" t="str">
        <f t="array" ref="E3">XLOOKUP(C6,'Salary Sheet'!A6:A79,'Salary Sheet'!F6:F79,0)</f>
        <v>Online</v>
      </c>
      <c r="F3" s="183"/>
      <c r="G3" s="185"/>
    </row>
    <row r="4">
      <c r="A4" s="177"/>
      <c r="B4" s="186" t="str">
        <f>'Salary Sheet'!A2</f>
        <v>Period : May''26</v>
      </c>
      <c r="C4" s="187"/>
      <c r="D4" s="187"/>
      <c r="E4" s="187"/>
      <c r="F4" s="187"/>
      <c r="G4" s="180"/>
    </row>
    <row r="5">
      <c r="A5" s="177"/>
      <c r="B5" s="188"/>
      <c r="C5" s="188"/>
      <c r="D5" s="188"/>
      <c r="E5" s="188"/>
      <c r="F5" s="188"/>
      <c r="G5" s="180"/>
    </row>
    <row r="6" ht="20.25" customHeight="1">
      <c r="A6" s="189"/>
      <c r="B6" s="190" t="s">
        <v>221</v>
      </c>
      <c r="C6" s="191">
        <v>48.0</v>
      </c>
      <c r="D6" s="192"/>
      <c r="E6" s="190" t="s">
        <v>222</v>
      </c>
      <c r="F6" s="193" t="str">
        <f t="array" ref="F6">XLOOKUP(C6,'Salary Sheet'!A6:A83,'Salary Sheet'!B6:B83,0)</f>
        <v>Arifur Rahman</v>
      </c>
      <c r="G6" s="194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>
      <c r="A7" s="181"/>
      <c r="B7" s="196" t="s">
        <v>223</v>
      </c>
      <c r="C7" s="197" t="str">
        <f t="array" ref="C7">XLOOKUP(C6,'Salary Sheet'!A6:A83,'Salary Sheet'!D6:D83,0)</f>
        <v>Manager</v>
      </c>
      <c r="E7" s="198" t="s">
        <v>224</v>
      </c>
      <c r="F7" s="199">
        <v>46173.0</v>
      </c>
      <c r="G7" s="200" t="s">
        <v>225</v>
      </c>
    </row>
    <row r="8">
      <c r="A8" s="181"/>
      <c r="B8" s="201" t="s">
        <v>15</v>
      </c>
      <c r="E8" s="201" t="s">
        <v>16</v>
      </c>
      <c r="G8" s="185"/>
    </row>
    <row r="9">
      <c r="A9" s="181"/>
      <c r="B9" s="202" t="s">
        <v>20</v>
      </c>
      <c r="C9" s="203">
        <f t="array" ref="C9">XLOOKUP(C6,'Salary Sheet'!A6:A79,'Salary Sheet'!M6:M79,0)</f>
        <v>2500</v>
      </c>
      <c r="E9" s="204" t="s">
        <v>226</v>
      </c>
      <c r="F9" s="205">
        <f t="array" ref="F9">XLOOKUP(C6,'Salary Sheet'!A6:A79,'Salary Sheet'!S6:S79,0)</f>
        <v>1000</v>
      </c>
      <c r="G9" s="185"/>
    </row>
    <row r="10">
      <c r="A10" s="181"/>
      <c r="B10" s="206" t="s">
        <v>227</v>
      </c>
      <c r="C10" s="207">
        <f t="array" ref="C10">XLOOKUP(C6,'Salary Sheet'!A6:A79,'Salary Sheet'!O6:O79,0)</f>
        <v>0</v>
      </c>
      <c r="E10" s="208" t="s">
        <v>28</v>
      </c>
      <c r="F10" s="209">
        <f t="array" ref="F10">XLOOKUP(C6,'Salary Sheet'!A6:A79,'Salary Sheet'!U6:U79,0)</f>
        <v>0</v>
      </c>
      <c r="G10" s="185"/>
    </row>
    <row r="11">
      <c r="A11" s="181"/>
      <c r="B11" s="206" t="s">
        <v>228</v>
      </c>
      <c r="C11" s="207">
        <f t="array" ref="C11">XLOOKUP(C6,'Salary Sheet'!A6:A79,'Salary Sheet'!N6:N79,0)</f>
        <v>0</v>
      </c>
      <c r="E11" s="208" t="s">
        <v>29</v>
      </c>
      <c r="F11" s="209">
        <f t="array" ref="F11">XLOOKUP(C6,'Salary Sheet'!A6:A79,'Salary Sheet'!V6:V79,0)</f>
        <v>0</v>
      </c>
      <c r="G11" s="185"/>
    </row>
    <row r="12">
      <c r="A12" s="181"/>
      <c r="B12" s="210" t="s">
        <v>24</v>
      </c>
      <c r="C12" s="207">
        <f t="array" ref="C12">XLOOKUP(C6,'Salary Sheet'!A6:A79,'Salary Sheet'!Q6:Q79,0)</f>
        <v>0</v>
      </c>
      <c r="E12" s="211" t="s">
        <v>229</v>
      </c>
      <c r="F12" s="212">
        <f t="array" ref="F12">XLOOKUP(C6,'Salary Sheet'!A6:A79,'Salary Sheet'!T6:T79,0)</f>
        <v>0</v>
      </c>
      <c r="G12" s="185"/>
    </row>
    <row r="13">
      <c r="A13" s="181"/>
      <c r="B13" s="210" t="s">
        <v>23</v>
      </c>
      <c r="C13" s="207">
        <f t="array" ref="C13">XLOOKUP(C6,'Salary Sheet'!A6:A79,'Salary Sheet'!P6:P79,0)</f>
        <v>0</v>
      </c>
      <c r="E13" s="211" t="s">
        <v>230</v>
      </c>
      <c r="F13" s="212">
        <f t="array" ref="F13">XLOOKUP(C6,'Salary Sheet'!A6:A88,'Salary Sheet'!Z6:Z88,0)</f>
        <v>400</v>
      </c>
      <c r="G13" s="185"/>
    </row>
    <row r="14">
      <c r="A14" s="181"/>
      <c r="B14" s="213" t="s">
        <v>231</v>
      </c>
      <c r="C14" s="214">
        <f>SUM(C9:C13)</f>
        <v>2500</v>
      </c>
      <c r="E14" s="215" t="s">
        <v>30</v>
      </c>
      <c r="F14" s="216">
        <f>SUM(F9:F13)</f>
        <v>1400</v>
      </c>
      <c r="G14" s="185"/>
    </row>
    <row r="15">
      <c r="A15" s="177"/>
      <c r="B15" s="217"/>
      <c r="C15" s="217"/>
      <c r="D15" s="217"/>
      <c r="E15" s="217"/>
      <c r="F15" s="217"/>
      <c r="G15" s="180"/>
    </row>
    <row r="16" ht="21.0" customHeight="1">
      <c r="A16" s="218"/>
      <c r="B16" s="219" t="s">
        <v>232</v>
      </c>
      <c r="C16" s="220">
        <f>C14-F14</f>
        <v>1100</v>
      </c>
      <c r="D16" s="14"/>
      <c r="E16" s="14"/>
      <c r="F16" s="15"/>
      <c r="G16" s="221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</row>
    <row r="17" ht="21.0" customHeight="1">
      <c r="A17" s="218"/>
      <c r="B17" s="219" t="s">
        <v>233</v>
      </c>
      <c r="C17" s="222" t="str">
        <f>Moneytext(C16,"SAR")&amp; " riyal"</f>
        <v>One thousand one hundred riyal</v>
      </c>
      <c r="D17" s="14"/>
      <c r="E17" s="14"/>
      <c r="F17" s="15"/>
      <c r="G17" s="221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</row>
    <row r="18">
      <c r="A18" s="181"/>
      <c r="B18" s="223" t="s">
        <v>234</v>
      </c>
      <c r="C18" s="224">
        <f t="array" ref="C18">XLOOKUP(C6,'Salary Sheet'!A6:A79,'Salary Sheet'!Y6:Y79,0)</f>
        <v>5500</v>
      </c>
      <c r="D18" s="225" t="str">
        <f>Moneytext(C18,"SAR")&amp; " riyal"</f>
        <v>Five thousand five hundred riyal</v>
      </c>
      <c r="E18" s="14"/>
      <c r="F18" s="15"/>
      <c r="G18" s="185"/>
    </row>
    <row r="19">
      <c r="A19" s="177"/>
      <c r="B19" s="226"/>
      <c r="C19" s="227"/>
      <c r="D19" s="228"/>
      <c r="E19" s="228"/>
      <c r="F19" s="217"/>
      <c r="G19" s="180"/>
    </row>
    <row r="20">
      <c r="A20" s="177"/>
      <c r="B20" s="229" t="s">
        <v>235</v>
      </c>
      <c r="C20" s="230" t="b">
        <v>1</v>
      </c>
      <c r="D20" s="231"/>
      <c r="E20" s="231"/>
      <c r="F20" s="232"/>
      <c r="G20" s="180"/>
    </row>
    <row r="21" ht="15.75" customHeight="1">
      <c r="A21" s="177"/>
      <c r="B21" s="229" t="s">
        <v>236</v>
      </c>
      <c r="C21" s="230" t="b">
        <v>0</v>
      </c>
      <c r="D21" s="232"/>
      <c r="E21" s="232"/>
      <c r="F21" s="232"/>
      <c r="G21" s="180"/>
    </row>
    <row r="22" ht="15.75" customHeight="1">
      <c r="A22" s="177"/>
      <c r="B22" s="232"/>
      <c r="C22" s="232"/>
      <c r="D22" s="232"/>
      <c r="E22" s="232"/>
      <c r="F22" s="232"/>
      <c r="G22" s="180"/>
    </row>
    <row r="23" ht="15.75" customHeight="1">
      <c r="A23" s="177"/>
      <c r="B23" s="233"/>
      <c r="C23" s="232"/>
      <c r="D23" s="232"/>
      <c r="E23" s="232"/>
      <c r="F23" s="232"/>
      <c r="G23" s="180"/>
    </row>
    <row r="24" ht="15.75" customHeight="1">
      <c r="A24" s="177"/>
      <c r="B24" s="232"/>
      <c r="C24" s="232"/>
      <c r="D24" s="232"/>
      <c r="E24" s="232"/>
      <c r="F24" s="232"/>
      <c r="G24" s="180"/>
    </row>
    <row r="25" ht="15.75" customHeight="1">
      <c r="A25" s="177"/>
      <c r="B25" s="232"/>
      <c r="C25" s="234"/>
      <c r="D25" s="235"/>
      <c r="E25" s="232"/>
      <c r="F25" s="234"/>
      <c r="G25" s="180"/>
    </row>
    <row r="26" ht="15.75" customHeight="1">
      <c r="A26" s="177"/>
      <c r="B26" s="236" t="s">
        <v>237</v>
      </c>
      <c r="C26" s="237" t="s">
        <v>238</v>
      </c>
      <c r="D26" s="237"/>
      <c r="E26" s="237" t="s">
        <v>239</v>
      </c>
      <c r="F26" s="238" t="s">
        <v>240</v>
      </c>
      <c r="G26" s="180"/>
    </row>
    <row r="27" ht="15.75" customHeight="1">
      <c r="A27" s="177"/>
      <c r="B27" s="232"/>
      <c r="C27" s="232"/>
      <c r="D27" s="232"/>
      <c r="E27" s="232"/>
      <c r="F27" s="232"/>
      <c r="G27" s="180"/>
    </row>
    <row r="28" ht="15.75" customHeight="1">
      <c r="A28" s="239"/>
      <c r="B28" s="240"/>
      <c r="C28" s="240"/>
      <c r="D28" s="240"/>
      <c r="E28" s="240"/>
      <c r="F28" s="240"/>
      <c r="G28" s="24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C17:F17"/>
    <mergeCell ref="D18:F18"/>
    <mergeCell ref="B2:F2"/>
    <mergeCell ref="B3:C3"/>
    <mergeCell ref="B4:F4"/>
    <mergeCell ref="D6:D14"/>
    <mergeCell ref="B8:C8"/>
    <mergeCell ref="E8:F8"/>
    <mergeCell ref="C16:F16"/>
  </mergeCells>
  <dataValidations>
    <dataValidation type="list" allowBlank="1" showErrorMessage="1" sqref="C6">
      <formula1>'Salary Sheet'!$A6:$A83</formula1>
    </dataValidation>
  </dataValidations>
  <printOptions/>
  <pageMargins bottom="0.20955041910083824" footer="0.0" header="0.0" left="0.9534544069088141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22.57"/>
    <col customWidth="1" min="3" max="3" width="34.29"/>
    <col customWidth="1" min="4" max="4" width="1.29"/>
    <col customWidth="1" min="5" max="5" width="22.57"/>
    <col customWidth="1" min="6" max="6" width="34.29"/>
    <col customWidth="1" min="7" max="7" width="5.71"/>
    <col customWidth="1" min="8" max="26" width="9.14"/>
  </cols>
  <sheetData>
    <row r="1">
      <c r="A1" s="174"/>
      <c r="B1" s="175"/>
      <c r="C1" s="175"/>
      <c r="D1" s="175"/>
      <c r="E1" s="175"/>
      <c r="F1" s="175"/>
      <c r="G1" s="176"/>
    </row>
    <row r="2">
      <c r="A2" s="177"/>
      <c r="B2" s="178" t="s">
        <v>218</v>
      </c>
      <c r="C2" s="179"/>
      <c r="D2" s="179"/>
      <c r="E2" s="179"/>
      <c r="F2" s="179"/>
      <c r="G2" s="180"/>
    </row>
    <row r="3">
      <c r="A3" s="181"/>
      <c r="B3" s="182" t="s">
        <v>219</v>
      </c>
      <c r="D3" s="183" t="s">
        <v>220</v>
      </c>
      <c r="E3" s="184" t="str">
        <f t="array" ref="E3">XLOOKUP(C6,'Salary Sheet'!A6:A79,'Salary Sheet'!F6:F79,0)</f>
        <v>Makkah-02</v>
      </c>
      <c r="F3" s="183"/>
      <c r="G3" s="185"/>
    </row>
    <row r="4">
      <c r="A4" s="177"/>
      <c r="B4" s="186" t="str">
        <f>'Salary Sheet'!A2</f>
        <v>Period : May''26</v>
      </c>
      <c r="C4" s="187"/>
      <c r="D4" s="187"/>
      <c r="E4" s="187"/>
      <c r="F4" s="187"/>
      <c r="G4" s="180"/>
    </row>
    <row r="5">
      <c r="A5" s="177"/>
      <c r="B5" s="188"/>
      <c r="C5" s="188"/>
      <c r="D5" s="188"/>
      <c r="E5" s="188"/>
      <c r="F5" s="188"/>
      <c r="G5" s="180"/>
    </row>
    <row r="6" ht="20.25" customHeight="1">
      <c r="A6" s="189"/>
      <c r="B6" s="190" t="s">
        <v>221</v>
      </c>
      <c r="C6" s="191">
        <v>32.0</v>
      </c>
      <c r="D6" s="192"/>
      <c r="E6" s="190" t="s">
        <v>222</v>
      </c>
      <c r="F6" s="193" t="str">
        <f t="array" ref="F6">XLOOKUP(C6,'Salary Sheet'!A6:A83,'Salary Sheet'!B6:B83,0)</f>
        <v>Md.Sumon Miah</v>
      </c>
      <c r="G6" s="194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>
      <c r="A7" s="181"/>
      <c r="B7" s="196" t="s">
        <v>223</v>
      </c>
      <c r="C7" s="197" t="str">
        <f t="array" ref="C7">XLOOKUP(C6,'Salary Sheet'!A6:A83,'Salary Sheet'!D6:D83,0)</f>
        <v>General Staff</v>
      </c>
      <c r="E7" s="198" t="s">
        <v>224</v>
      </c>
      <c r="F7" s="199">
        <v>46173.0</v>
      </c>
      <c r="G7" s="200" t="s">
        <v>225</v>
      </c>
    </row>
    <row r="8">
      <c r="A8" s="181"/>
      <c r="B8" s="201" t="s">
        <v>15</v>
      </c>
      <c r="E8" s="201" t="s">
        <v>16</v>
      </c>
      <c r="G8" s="185"/>
    </row>
    <row r="9">
      <c r="A9" s="181"/>
      <c r="B9" s="202" t="s">
        <v>20</v>
      </c>
      <c r="C9" s="203">
        <f t="array" ref="C9">XLOOKUP(C6,'Salary Sheet'!A6:A79,'Salary Sheet'!M6:M79,0)</f>
        <v>1800</v>
      </c>
      <c r="E9" s="204" t="s">
        <v>226</v>
      </c>
      <c r="F9" s="205">
        <f t="array" ref="F9">XLOOKUP(C6,'Salary Sheet'!A6:A79,'Salary Sheet'!S6:S79,0)</f>
        <v>0</v>
      </c>
      <c r="G9" s="185"/>
    </row>
    <row r="10">
      <c r="A10" s="181"/>
      <c r="B10" s="206" t="s">
        <v>227</v>
      </c>
      <c r="C10" s="207">
        <f t="array" ref="C10">XLOOKUP(C6,'Salary Sheet'!A6:A79,'Salary Sheet'!O6:O79,0)</f>
        <v>0</v>
      </c>
      <c r="E10" s="208" t="s">
        <v>28</v>
      </c>
      <c r="F10" s="209">
        <f t="array" ref="F10">XLOOKUP(C6,'Salary Sheet'!A6:A79,'Salary Sheet'!U6:U79,0)</f>
        <v>0</v>
      </c>
      <c r="G10" s="185"/>
    </row>
    <row r="11">
      <c r="A11" s="181"/>
      <c r="B11" s="206" t="s">
        <v>228</v>
      </c>
      <c r="C11" s="242">
        <v>0.0</v>
      </c>
      <c r="E11" s="208" t="s">
        <v>29</v>
      </c>
      <c r="F11" s="209">
        <f t="array" ref="F11">XLOOKUP(C6,'Salary Sheet'!A6:A79,'Salary Sheet'!V6:V79,0)</f>
        <v>0</v>
      </c>
      <c r="G11" s="185"/>
    </row>
    <row r="12">
      <c r="A12" s="181"/>
      <c r="B12" s="210" t="s">
        <v>24</v>
      </c>
      <c r="C12" s="207">
        <f t="array" ref="C12">XLOOKUP(C6,'Salary Sheet'!A6:A79,'Salary Sheet'!Q6:Q79,0)</f>
        <v>0</v>
      </c>
      <c r="E12" s="211" t="s">
        <v>229</v>
      </c>
      <c r="F12" s="212">
        <f t="array" ref="F12">XLOOKUP(C6,'Salary Sheet'!A6:A79,'Salary Sheet'!T6:T79,0)</f>
        <v>0</v>
      </c>
      <c r="G12" s="185"/>
    </row>
    <row r="13">
      <c r="A13" s="181"/>
      <c r="B13" s="210" t="s">
        <v>23</v>
      </c>
      <c r="C13" s="207">
        <f t="array" ref="C13">XLOOKUP(C6,'Salary Sheet'!A6:A79,'Salary Sheet'!P6:P79,0)</f>
        <v>0</v>
      </c>
      <c r="E13" s="211" t="s">
        <v>230</v>
      </c>
      <c r="F13" s="212">
        <f t="array" ref="F13">XLOOKUP(C6,'Salary Sheet'!A6:A88,'Salary Sheet'!Z6:Z88,0)</f>
        <v>400</v>
      </c>
      <c r="G13" s="185"/>
    </row>
    <row r="14">
      <c r="A14" s="181"/>
      <c r="B14" s="213" t="s">
        <v>231</v>
      </c>
      <c r="C14" s="214">
        <f>SUM(C9:C13)</f>
        <v>1800</v>
      </c>
      <c r="E14" s="215" t="s">
        <v>30</v>
      </c>
      <c r="F14" s="216">
        <f>SUM(F9:F13)</f>
        <v>400</v>
      </c>
      <c r="G14" s="185"/>
    </row>
    <row r="15">
      <c r="A15" s="177"/>
      <c r="B15" s="217"/>
      <c r="C15" s="217"/>
      <c r="D15" s="217"/>
      <c r="E15" s="217"/>
      <c r="F15" s="217"/>
      <c r="G15" s="180"/>
    </row>
    <row r="16" ht="21.0" customHeight="1">
      <c r="A16" s="218"/>
      <c r="B16" s="219" t="s">
        <v>232</v>
      </c>
      <c r="C16" s="243">
        <f>C14-F14</f>
        <v>1400</v>
      </c>
      <c r="D16" s="14"/>
      <c r="E16" s="14"/>
      <c r="F16" s="15"/>
      <c r="G16" s="221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</row>
    <row r="17" ht="21.0" customHeight="1">
      <c r="A17" s="218"/>
      <c r="B17" s="219" t="s">
        <v>233</v>
      </c>
      <c r="C17" s="222" t="str">
        <f>Moneytext(C16,"SAR")&amp; " riyal"</f>
        <v>One thousand four hundred riyal</v>
      </c>
      <c r="D17" s="14"/>
      <c r="E17" s="14"/>
      <c r="F17" s="15"/>
      <c r="G17" s="221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</row>
    <row r="18">
      <c r="A18" s="181"/>
      <c r="B18" s="223" t="s">
        <v>234</v>
      </c>
      <c r="C18" s="224">
        <f t="array" ref="C18">XLOOKUP(C6,'Salary Sheet'!A6:A79,'Salary Sheet'!Y6:Y79,0)</f>
        <v>0</v>
      </c>
      <c r="D18" s="225" t="str">
        <f>Moneytext(C18,"SAR")&amp; " riyal"</f>
        <v>Zero riyal</v>
      </c>
      <c r="E18" s="14"/>
      <c r="F18" s="15"/>
      <c r="G18" s="185"/>
    </row>
    <row r="19">
      <c r="A19" s="177"/>
      <c r="B19" s="226"/>
      <c r="C19" s="227"/>
      <c r="D19" s="228"/>
      <c r="E19" s="228"/>
      <c r="F19" s="217"/>
      <c r="G19" s="180"/>
    </row>
    <row r="20">
      <c r="A20" s="177"/>
      <c r="B20" s="229" t="s">
        <v>235</v>
      </c>
      <c r="C20" s="230" t="b">
        <v>1</v>
      </c>
      <c r="D20" s="231"/>
      <c r="E20" s="231"/>
      <c r="F20" s="232"/>
      <c r="G20" s="180"/>
    </row>
    <row r="21" ht="15.75" customHeight="1">
      <c r="A21" s="177"/>
      <c r="B21" s="229" t="s">
        <v>236</v>
      </c>
      <c r="C21" s="230" t="b">
        <v>0</v>
      </c>
      <c r="D21" s="232"/>
      <c r="E21" s="232"/>
      <c r="F21" s="232"/>
      <c r="G21" s="180"/>
    </row>
    <row r="22" ht="15.75" customHeight="1">
      <c r="A22" s="177"/>
      <c r="B22" s="232"/>
      <c r="C22" s="232"/>
      <c r="D22" s="232"/>
      <c r="E22" s="232"/>
      <c r="F22" s="232"/>
      <c r="G22" s="180"/>
    </row>
    <row r="23" ht="15.75" customHeight="1">
      <c r="A23" s="177"/>
      <c r="B23" s="233" t="s">
        <v>241</v>
      </c>
      <c r="C23" s="232"/>
      <c r="D23" s="232"/>
      <c r="E23" s="232"/>
      <c r="F23" s="232"/>
      <c r="G23" s="180"/>
    </row>
    <row r="24" ht="15.75" customHeight="1">
      <c r="A24" s="177"/>
      <c r="B24" s="232"/>
      <c r="C24" s="232"/>
      <c r="D24" s="232"/>
      <c r="E24" s="232"/>
      <c r="F24" s="232"/>
      <c r="G24" s="180"/>
    </row>
    <row r="25" ht="15.75" customHeight="1">
      <c r="A25" s="177"/>
      <c r="B25" s="232"/>
      <c r="C25" s="234"/>
      <c r="D25" s="235"/>
      <c r="E25" s="232"/>
      <c r="F25" s="234"/>
      <c r="G25" s="180"/>
    </row>
    <row r="26" ht="15.75" customHeight="1">
      <c r="A26" s="177"/>
      <c r="B26" s="236" t="s">
        <v>237</v>
      </c>
      <c r="C26" s="237" t="s">
        <v>238</v>
      </c>
      <c r="D26" s="237"/>
      <c r="E26" s="237" t="s">
        <v>239</v>
      </c>
      <c r="F26" s="238" t="s">
        <v>240</v>
      </c>
      <c r="G26" s="180"/>
    </row>
    <row r="27" ht="15.75" customHeight="1">
      <c r="A27" s="177"/>
      <c r="B27" s="232"/>
      <c r="C27" s="232"/>
      <c r="D27" s="232"/>
      <c r="E27" s="232"/>
      <c r="F27" s="232"/>
      <c r="G27" s="180"/>
    </row>
    <row r="28" ht="15.75" customHeight="1">
      <c r="A28" s="239"/>
      <c r="B28" s="240"/>
      <c r="C28" s="240"/>
      <c r="D28" s="240"/>
      <c r="E28" s="240"/>
      <c r="F28" s="240"/>
      <c r="G28" s="24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C17:F17"/>
    <mergeCell ref="D18:F18"/>
    <mergeCell ref="B2:F2"/>
    <mergeCell ref="B3:C3"/>
    <mergeCell ref="B4:F4"/>
    <mergeCell ref="D6:D14"/>
    <mergeCell ref="B8:C8"/>
    <mergeCell ref="E8:F8"/>
    <mergeCell ref="C16:F16"/>
  </mergeCells>
  <dataValidations>
    <dataValidation type="list" allowBlank="1" showErrorMessage="1" sqref="C6">
      <formula1>'Salary Sheet'!$A6:$A83</formula1>
    </dataValidation>
  </dataValidations>
  <printOptions/>
  <pageMargins bottom="0.010477520955041912" footer="0.0" header="0.0" left="1.330645161290323" right="0.0" top="0.2619380238760478"/>
  <pageSetup paperSize="9" orientation="landscape"/>
  <drawing r:id="rId1"/>
</worksheet>
</file>